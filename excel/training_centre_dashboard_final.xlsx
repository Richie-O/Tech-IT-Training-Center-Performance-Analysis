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shop\Documents\"/>
    </mc:Choice>
  </mc:AlternateContent>
  <xr:revisionPtr revIDLastSave="0" documentId="8_{0081FC0F-DA75-464E-99D4-5F4092A0B21C}" xr6:coauthVersionLast="47" xr6:coauthVersionMax="47" xr10:uidLastSave="{00000000-0000-0000-0000-000000000000}"/>
  <bookViews>
    <workbookView xWindow="-110" yWindow="-110" windowWidth="19420" windowHeight="10300" firstSheet="2" activeTab="2" xr2:uid="{00000000-000D-0000-FFFF-FFFF00000000}"/>
  </bookViews>
  <sheets>
    <sheet name="Pivots" sheetId="8" r:id="rId1"/>
    <sheet name="Data" sheetId="1" r:id="rId2"/>
    <sheet name="Dashboard" sheetId="2" r:id="rId3"/>
    <sheet name="KPI_Data" sheetId="3" r:id="rId4"/>
    <sheet name="Enrollment" sheetId="4" r:id="rId5"/>
    <sheet name="Financial" sheetId="5" r:id="rId6"/>
    <sheet name="Outcomes" sheetId="6" r:id="rId7"/>
    <sheet name="Demographics" sheetId="7" r:id="rId8"/>
  </sheets>
  <definedNames>
    <definedName name="Slicer_center_name">#N/A</definedName>
    <definedName name="Slicer_course_name">#N/A</definedName>
    <definedName name="Slicer_enrollment_month">#N/A</definedName>
    <definedName name="Slicer_Metric">#N/A</definedName>
    <definedName name="Slicer_status">#N/A</definedName>
  </definedNames>
  <calcPr calcId="191029"/>
  <pivotCaches>
    <pivotCache cacheId="19" r:id="rId9"/>
    <pivotCache cacheId="23" r:id="rId10"/>
    <pivotCache cacheId="27"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8" i="2" l="1"/>
  <c r="D68" i="2"/>
  <c r="G11" i="2"/>
  <c r="J11" i="2"/>
  <c r="M11" i="2"/>
  <c r="G68" i="2"/>
  <c r="D11" i="2"/>
  <c r="A11" i="2"/>
  <c r="J68" i="2" l="1"/>
</calcChain>
</file>

<file path=xl/sharedStrings.xml><?xml version="1.0" encoding="utf-8"?>
<sst xmlns="http://schemas.openxmlformats.org/spreadsheetml/2006/main" count="1487" uniqueCount="306">
  <si>
    <t>enrollment_id</t>
  </si>
  <si>
    <t>student_id</t>
  </si>
  <si>
    <t>course_id</t>
  </si>
  <si>
    <t>center_id</t>
  </si>
  <si>
    <t>enrollment_date</t>
  </si>
  <si>
    <t>start_date</t>
  </si>
  <si>
    <t>expected_end_date</t>
  </si>
  <si>
    <t>actual_end_date</t>
  </si>
  <si>
    <t>status</t>
  </si>
  <si>
    <t>deposit_amount</t>
  </si>
  <si>
    <t>payment_plan</t>
  </si>
  <si>
    <t>admission_staff</t>
  </si>
  <si>
    <t>full_name</t>
  </si>
  <si>
    <t>email</t>
  </si>
  <si>
    <t>phone</t>
  </si>
  <si>
    <t>dob</t>
  </si>
  <si>
    <t>gender</t>
  </si>
  <si>
    <t>education_level</t>
  </si>
  <si>
    <t>employment_status</t>
  </si>
  <si>
    <t>monthly_income_range</t>
  </si>
  <si>
    <t>referral_source</t>
  </si>
  <si>
    <t>registration_date</t>
  </si>
  <si>
    <t>course_code</t>
  </si>
  <si>
    <t>course_name</t>
  </si>
  <si>
    <t>category</t>
  </si>
  <si>
    <t>duration_weeks</t>
  </si>
  <si>
    <t>total_fee</t>
  </si>
  <si>
    <t>description</t>
  </si>
  <si>
    <t>center_name</t>
  </si>
  <si>
    <t>city</t>
  </si>
  <si>
    <t>state</t>
  </si>
  <si>
    <t>manager_name</t>
  </si>
  <si>
    <t>year_opened</t>
  </si>
  <si>
    <t>enrollment_month</t>
  </si>
  <si>
    <t>ENR-001</t>
  </si>
  <si>
    <t>STU-001</t>
  </si>
  <si>
    <t>CRS-001</t>
  </si>
  <si>
    <t>CEN-001</t>
  </si>
  <si>
    <t>active</t>
  </si>
  <si>
    <t>2_installments</t>
  </si>
  <si>
    <t>John Doe</t>
  </si>
  <si>
    <t>Chukwuemeka Ibrahim</t>
  </si>
  <si>
    <t>chukwuemeka.i@email.com</t>
  </si>
  <si>
    <t>Male</t>
  </si>
  <si>
    <t>BSc</t>
  </si>
  <si>
    <t>Employed Full-time</t>
  </si>
  <si>
    <t>150k-250k</t>
  </si>
  <si>
    <t>Referral</t>
  </si>
  <si>
    <t>WD-101</t>
  </si>
  <si>
    <t>Full Stack Web Development</t>
  </si>
  <si>
    <t>Web Development</t>
  </si>
  <si>
    <t>Comprehensive MERN stack program</t>
  </si>
  <si>
    <t>TechHub Ikeja</t>
  </si>
  <si>
    <t>Lagos</t>
  </si>
  <si>
    <t>Lagos State</t>
  </si>
  <si>
    <t>Mr. Adebayo Johnson</t>
  </si>
  <si>
    <t>2026-01</t>
  </si>
  <si>
    <t>ENR-002</t>
  </si>
  <si>
    <t>STU-002</t>
  </si>
  <si>
    <t>CRS-002</t>
  </si>
  <si>
    <t>CEN-002</t>
  </si>
  <si>
    <t>3_installments</t>
  </si>
  <si>
    <t>Jane Smith</t>
  </si>
  <si>
    <t>Amina Bello</t>
  </si>
  <si>
    <t>amina.bello@email.com</t>
  </si>
  <si>
    <t>Female</t>
  </si>
  <si>
    <t>HND</t>
  </si>
  <si>
    <t>Unemployed</t>
  </si>
  <si>
    <t>Below 50k</t>
  </si>
  <si>
    <t>Social Media</t>
  </si>
  <si>
    <t>DS-201</t>
  </si>
  <si>
    <t>Data Science &amp; Analytics</t>
  </si>
  <si>
    <t>Data Science</t>
  </si>
  <si>
    <t>Python, SQL, ML fundamentals</t>
  </si>
  <si>
    <t>CodeBase Abuja</t>
  </si>
  <si>
    <t>Abuja</t>
  </si>
  <si>
    <t>FCT</t>
  </si>
  <si>
    <t>Mrs. Ngozi Okonkwo</t>
  </si>
  <si>
    <t>ENR-003</t>
  </si>
  <si>
    <t>STU-003</t>
  </si>
  <si>
    <t>dropped_out</t>
  </si>
  <si>
    <t>Oluwaseun Adeyemi</t>
  </si>
  <si>
    <t>oluwaseun.a@email.com</t>
  </si>
  <si>
    <t>SSCE</t>
  </si>
  <si>
    <t>Employed Part-time</t>
  </si>
  <si>
    <t>50k-100k</t>
  </si>
  <si>
    <t>Walk-in</t>
  </si>
  <si>
    <t>2026-02</t>
  </si>
  <si>
    <t>ENR-004</t>
  </si>
  <si>
    <t>STU-004</t>
  </si>
  <si>
    <t>CRS-004</t>
  </si>
  <si>
    <t>CEN-003</t>
  </si>
  <si>
    <t>Mary Johnson</t>
  </si>
  <si>
    <t>Fatima Abdullahi</t>
  </si>
  <si>
    <t>fatima.abd@email.com</t>
  </si>
  <si>
    <t>Student</t>
  </si>
  <si>
    <t>UX-401</t>
  </si>
  <si>
    <t>UI/UX Design Professional</t>
  </si>
  <si>
    <t>Design</t>
  </si>
  <si>
    <t>Figma, prototyping, user research</t>
  </si>
  <si>
    <t>DevCenter PH</t>
  </si>
  <si>
    <t>Port Harcourt</t>
  </si>
  <si>
    <t>Rivers State</t>
  </si>
  <si>
    <t>Mr. Chinedu Okafor</t>
  </si>
  <si>
    <t>ENR-005</t>
  </si>
  <si>
    <t>STU-005</t>
  </si>
  <si>
    <t>CRS-003</t>
  </si>
  <si>
    <t>Emeka Obi</t>
  </si>
  <si>
    <t>emeka.obi@email.com</t>
  </si>
  <si>
    <t>OND</t>
  </si>
  <si>
    <t>100k-150k</t>
  </si>
  <si>
    <t>CS-301</t>
  </si>
  <si>
    <t>Cybersecurity Fundamentals</t>
  </si>
  <si>
    <t>Cybersecurity</t>
  </si>
  <si>
    <t>Network security and ethical hacking</t>
  </si>
  <si>
    <t>ENR-006</t>
  </si>
  <si>
    <t>STU-014</t>
  </si>
  <si>
    <t>completed</t>
  </si>
  <si>
    <t>Bukola Suleiman</t>
  </si>
  <si>
    <t>bukola.suleiman@email.com</t>
  </si>
  <si>
    <t>Website</t>
  </si>
  <si>
    <t>2026-03</t>
  </si>
  <si>
    <t>ENR-007</t>
  </si>
  <si>
    <t>STU-023</t>
  </si>
  <si>
    <t>monthly</t>
  </si>
  <si>
    <t>Zainab Chukwu</t>
  </si>
  <si>
    <t>zainab.chukwu@email.com</t>
  </si>
  <si>
    <t>ENR-008</t>
  </si>
  <si>
    <t>STU-013</t>
  </si>
  <si>
    <t>Kayode Adeyinka</t>
  </si>
  <si>
    <t>kayode.adeyinka@email.com</t>
  </si>
  <si>
    <t>MSc</t>
  </si>
  <si>
    <t>ENR-009</t>
  </si>
  <si>
    <t>STU-008</t>
  </si>
  <si>
    <t>Peter Adeleke</t>
  </si>
  <si>
    <t>Femi Okafor</t>
  </si>
  <si>
    <t>femi.okafor@email.com</t>
  </si>
  <si>
    <t>2025-11</t>
  </si>
  <si>
    <t>ENR-010</t>
  </si>
  <si>
    <t>Blessing Osei</t>
  </si>
  <si>
    <t>2026-06</t>
  </si>
  <si>
    <t>ENR-011</t>
  </si>
  <si>
    <t>ENR-012</t>
  </si>
  <si>
    <t>STU-021</t>
  </si>
  <si>
    <t>Musa Nwosu</t>
  </si>
  <si>
    <t>musa.nwosu@email.com</t>
  </si>
  <si>
    <t>Above 250k</t>
  </si>
  <si>
    <t>2025-08</t>
  </si>
  <si>
    <t>ENR-013</t>
  </si>
  <si>
    <t>STU-019</t>
  </si>
  <si>
    <t>Uche Danjuma</t>
  </si>
  <si>
    <t>uche.danjuma@email.com</t>
  </si>
  <si>
    <t>2025-07</t>
  </si>
  <si>
    <t>ENR-014</t>
  </si>
  <si>
    <t>STU-009</t>
  </si>
  <si>
    <t>Bimpe Yusuf</t>
  </si>
  <si>
    <t>bimpe.yusuf@email.com</t>
  </si>
  <si>
    <t>ENR-015</t>
  </si>
  <si>
    <t>STU-029</t>
  </si>
  <si>
    <t>Femi Muhammed</t>
  </si>
  <si>
    <t>femi.muhammed@email.com</t>
  </si>
  <si>
    <t>ENR-016</t>
  </si>
  <si>
    <t>STU-024</t>
  </si>
  <si>
    <t>Ifeanyi Okafor</t>
  </si>
  <si>
    <t>ifeanyi.okafor@email.com</t>
  </si>
  <si>
    <t>ENR-017</t>
  </si>
  <si>
    <t>full_payment</t>
  </si>
  <si>
    <t>2025-10</t>
  </si>
  <si>
    <t>ENR-018</t>
  </si>
  <si>
    <t>ENR-019</t>
  </si>
  <si>
    <t>STU-030</t>
  </si>
  <si>
    <t>Fatimah Ogundipe</t>
  </si>
  <si>
    <t>fatimah.ogundipe@email.com</t>
  </si>
  <si>
    <t>ENR-020</t>
  </si>
  <si>
    <t>ENR-021</t>
  </si>
  <si>
    <t>STU-022</t>
  </si>
  <si>
    <t>Kayode Abdullahi</t>
  </si>
  <si>
    <t>kayode.abdullahi@email.com</t>
  </si>
  <si>
    <t>ENR-022</t>
  </si>
  <si>
    <t>STU-006</t>
  </si>
  <si>
    <t>Chinyere Okafor</t>
  </si>
  <si>
    <t>chinyere.okafor@email.com</t>
  </si>
  <si>
    <t>2026-05</t>
  </si>
  <si>
    <t>ENR-023</t>
  </si>
  <si>
    <t>2025-12</t>
  </si>
  <si>
    <t>ENR-024</t>
  </si>
  <si>
    <t>STU-017</t>
  </si>
  <si>
    <t>Hauwa Bello</t>
  </si>
  <si>
    <t>hauwa.bello@email.com</t>
  </si>
  <si>
    <t>ENR-025</t>
  </si>
  <si>
    <t>ENR-026</t>
  </si>
  <si>
    <t>ENR-027</t>
  </si>
  <si>
    <t>STU-018</t>
  </si>
  <si>
    <t>Ifeanyi Ogundipe</t>
  </si>
  <si>
    <t>ifeanyi.ogundipe@email.com</t>
  </si>
  <si>
    <t>ENR-028</t>
  </si>
  <si>
    <t>ENR-029</t>
  </si>
  <si>
    <t>STU-011</t>
  </si>
  <si>
    <t>Ifeanyi Umeh</t>
  </si>
  <si>
    <t>ifeanyi.umeh@email.com</t>
  </si>
  <si>
    <t>ENR-030</t>
  </si>
  <si>
    <t>STU-020</t>
  </si>
  <si>
    <t>Nkechi Adeyinka</t>
  </si>
  <si>
    <t>nkechi.adeyinka@email.com</t>
  </si>
  <si>
    <t>ENR-031</t>
  </si>
  <si>
    <t>ENR-032</t>
  </si>
  <si>
    <t>ENR-033</t>
  </si>
  <si>
    <t>ENR-034</t>
  </si>
  <si>
    <t>ENR-035</t>
  </si>
  <si>
    <t>STU-027</t>
  </si>
  <si>
    <t>suspended</t>
  </si>
  <si>
    <t>Wale Yusuf</t>
  </si>
  <si>
    <t>wale.yusuf@email.com</t>
  </si>
  <si>
    <t>Metric</t>
  </si>
  <si>
    <t>Value</t>
  </si>
  <si>
    <t>Total Enrollments</t>
  </si>
  <si>
    <t>Unique Students</t>
  </si>
  <si>
    <t>Active Enrollments</t>
  </si>
  <si>
    <t>Completed Enrollments</t>
  </si>
  <si>
    <t>Dropped Out</t>
  </si>
  <si>
    <t>Decided Enrollments</t>
  </si>
  <si>
    <t>Suspended Enrollments</t>
  </si>
  <si>
    <t>Completion Rate</t>
  </si>
  <si>
    <t>Dropout Rate</t>
  </si>
  <si>
    <t>Total Fees Due</t>
  </si>
  <si>
    <t>Status</t>
  </si>
  <si>
    <t>Enrollments</t>
  </si>
  <si>
    <t>Percentage</t>
  </si>
  <si>
    <t>Peak Enrollment Month</t>
  </si>
  <si>
    <t>Peak Month Enrollments</t>
  </si>
  <si>
    <t>Average Monthly Enrollments</t>
  </si>
  <si>
    <t>enrollments</t>
  </si>
  <si>
    <t>students</t>
  </si>
  <si>
    <t>enrollment_change</t>
  </si>
  <si>
    <t>growth_rate</t>
  </si>
  <si>
    <t>enrollment_year</t>
  </si>
  <si>
    <t>enrollment_quarter</t>
  </si>
  <si>
    <t>2025Q3</t>
  </si>
  <si>
    <t>2025Q4</t>
  </si>
  <si>
    <t>2026Q1</t>
  </si>
  <si>
    <t>2026Q2</t>
  </si>
  <si>
    <t>Amount</t>
  </si>
  <si>
    <t>Total Amount Paid</t>
  </si>
  <si>
    <t>Outstanding Amount</t>
  </si>
  <si>
    <t>fees_due</t>
  </si>
  <si>
    <t>average_fee</t>
  </si>
  <si>
    <t>payment_status</t>
  </si>
  <si>
    <t>amount_paid</t>
  </si>
  <si>
    <t>outstanding</t>
  </si>
  <si>
    <t>percentage</t>
  </si>
  <si>
    <t>Fully Paid</t>
  </si>
  <si>
    <t>Overpaid</t>
  </si>
  <si>
    <t>Partially Paid</t>
  </si>
  <si>
    <t>total_paid</t>
  </si>
  <si>
    <t>outstanding_amount</t>
  </si>
  <si>
    <t>timing_status</t>
  </si>
  <si>
    <t>payments</t>
  </si>
  <si>
    <t>amount_due</t>
  </si>
  <si>
    <t>Late</t>
  </si>
  <si>
    <t>On Time</t>
  </si>
  <si>
    <t>Overdue</t>
  </si>
  <si>
    <t>Pending</t>
  </si>
  <si>
    <t>Overdue Payments</t>
  </si>
  <si>
    <t>Overdue Amount</t>
  </si>
  <si>
    <t>payment_id</t>
  </si>
  <si>
    <t>installment_number</t>
  </si>
  <si>
    <t>due_date</t>
  </si>
  <si>
    <t>overdue_amount</t>
  </si>
  <si>
    <t>Overpaid Enrollments</t>
  </si>
  <si>
    <t>Total Overpaid Amount</t>
  </si>
  <si>
    <t>overpayment_amount</t>
  </si>
  <si>
    <t>Active</t>
  </si>
  <si>
    <t>Suspended</t>
  </si>
  <si>
    <t>Completed</t>
  </si>
  <si>
    <t>Still In Progress</t>
  </si>
  <si>
    <t>decided_enrollments</t>
  </si>
  <si>
    <t>completion_rate</t>
  </si>
  <si>
    <t>dropout_rate</t>
  </si>
  <si>
    <t>Male Students</t>
  </si>
  <si>
    <t>Female Students</t>
  </si>
  <si>
    <t>Students with BSc</t>
  </si>
  <si>
    <t>Students with HND</t>
  </si>
  <si>
    <t>Students with OND</t>
  </si>
  <si>
    <t>Students with SSCE</t>
  </si>
  <si>
    <t>Students</t>
  </si>
  <si>
    <t>TRAINING CENTRE PERFORMANCE DASHBOARD</t>
  </si>
  <si>
    <t>Enrollment, Financial &amp; Student Performance Overview</t>
  </si>
  <si>
    <t>Row Labels</t>
  </si>
  <si>
    <t>Grand Total</t>
  </si>
  <si>
    <t>Count of enrollment_id</t>
  </si>
  <si>
    <t>Sum of Amount</t>
  </si>
  <si>
    <t>Financial Overview</t>
  </si>
  <si>
    <t>Sum of Value</t>
  </si>
  <si>
    <t>TOTAL ENROLMENTS</t>
  </si>
  <si>
    <t>UNIQUE STUDENTS</t>
  </si>
  <si>
    <t>ACTIVE</t>
  </si>
  <si>
    <t>COMPLETED</t>
  </si>
  <si>
    <t>DROPPED OUT</t>
  </si>
  <si>
    <t>FEES DUE</t>
  </si>
  <si>
    <t>AMOUNT PAID</t>
  </si>
  <si>
    <t>OUTSTANDING</t>
  </si>
  <si>
    <t>COLLECTION RATE</t>
  </si>
  <si>
    <t>Enrolment Performance</t>
  </si>
  <si>
    <t>Student Performance</t>
  </si>
  <si>
    <t>Financial Performance</t>
  </si>
  <si>
    <t>Student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</si>
</sst>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6" formatCode="[$₦-466]\ #,##0.00;[Red]\-[$₦-466]\ #,##0.00"/>
  </numFmts>
  <fonts count="10">
    <font>
      <sz val="11"/>
      <color theme="1"/>
      <name val="Calibri"/>
      <family val="2"/>
      <scheme val="minor"/>
    </font>
    <font>
      <sz val="11"/>
      <color theme="1"/>
      <name val="Calibri"/>
      <family val="2"/>
      <scheme val="minor"/>
    </font>
    <font>
      <sz val="11"/>
      <color theme="1"/>
      <name val="Aptos"/>
      <family val="2"/>
    </font>
    <font>
      <i/>
      <sz val="11"/>
      <color theme="1"/>
      <name val="Aptos"/>
      <family val="2"/>
    </font>
    <font>
      <b/>
      <sz val="10"/>
      <color theme="1"/>
      <name val="Aptos"/>
      <family val="2"/>
    </font>
    <font>
      <b/>
      <sz val="18"/>
      <color theme="1"/>
      <name val="Aptos"/>
      <family val="2"/>
    </font>
    <font>
      <b/>
      <sz val="20"/>
      <color theme="3" tint="-0.499984740745262"/>
      <name val="Aptos Display"/>
      <family val="2"/>
    </font>
    <font>
      <b/>
      <sz val="11"/>
      <color theme="3" tint="-0.499984740745262"/>
      <name val="Aptos"/>
      <family val="2"/>
    </font>
    <font>
      <sz val="11"/>
      <color theme="3" tint="-0.499984740745262"/>
      <name val="Aptos"/>
      <family val="2"/>
    </font>
    <font>
      <i/>
      <sz val="11"/>
      <color theme="3" tint="-0.249977111117893"/>
      <name val="Aptos Display"/>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0" fontId="2" fillId="0" borderId="0" xfId="0" applyFont="1"/>
    <xf numFmtId="0" fontId="2" fillId="2" borderId="0" xfId="0" applyFont="1" applyFill="1" applyBorder="1"/>
    <xf numFmtId="0" fontId="3" fillId="3" borderId="0" xfId="0" applyFont="1" applyFill="1" applyAlignment="1">
      <alignment horizontal="center" vertical="center"/>
    </xf>
    <xf numFmtId="0" fontId="4" fillId="3"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0"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0" xfId="0" applyFont="1" applyFill="1" applyBorder="1" applyAlignment="1">
      <alignment horizontal="center" vertical="center"/>
    </xf>
    <xf numFmtId="0" fontId="2" fillId="3" borderId="0" xfId="0" applyFont="1" applyFill="1"/>
    <xf numFmtId="0" fontId="2" fillId="3" borderId="0" xfId="0" applyFont="1" applyFill="1" applyBorder="1"/>
    <xf numFmtId="166" fontId="5" fillId="3" borderId="4" xfId="0" applyNumberFormat="1" applyFont="1" applyFill="1" applyBorder="1" applyAlignment="1">
      <alignment horizontal="center" vertical="center"/>
    </xf>
    <xf numFmtId="166" fontId="5" fillId="3" borderId="5" xfId="0" applyNumberFormat="1" applyFont="1" applyFill="1" applyBorder="1" applyAlignment="1">
      <alignment horizontal="center" vertical="center"/>
    </xf>
    <xf numFmtId="166" fontId="5" fillId="3" borderId="6" xfId="0" applyNumberFormat="1" applyFont="1" applyFill="1" applyBorder="1" applyAlignment="1">
      <alignment horizontal="center" vertical="center"/>
    </xf>
    <xf numFmtId="10" fontId="5" fillId="3" borderId="4" xfId="1" applyNumberFormat="1" applyFont="1" applyFill="1" applyBorder="1" applyAlignment="1">
      <alignment horizontal="center" vertical="center"/>
    </xf>
    <xf numFmtId="10" fontId="5" fillId="3" borderId="5" xfId="1" applyNumberFormat="1" applyFont="1" applyFill="1" applyBorder="1" applyAlignment="1">
      <alignment horizontal="center" vertical="center"/>
    </xf>
    <xf numFmtId="10" fontId="5" fillId="3" borderId="6" xfId="1" applyNumberFormat="1" applyFont="1" applyFill="1" applyBorder="1" applyAlignment="1">
      <alignment horizontal="center" vertical="center"/>
    </xf>
    <xf numFmtId="166" fontId="5" fillId="3" borderId="7" xfId="0" applyNumberFormat="1" applyFont="1" applyFill="1" applyBorder="1" applyAlignment="1">
      <alignment horizontal="center" vertical="center"/>
    </xf>
    <xf numFmtId="166" fontId="5" fillId="3" borderId="0" xfId="0" applyNumberFormat="1" applyFont="1" applyFill="1" applyBorder="1" applyAlignment="1">
      <alignment horizontal="center" vertical="center"/>
    </xf>
    <xf numFmtId="166" fontId="5" fillId="3" borderId="8" xfId="0" applyNumberFormat="1" applyFont="1" applyFill="1" applyBorder="1" applyAlignment="1">
      <alignment horizontal="center" vertical="center"/>
    </xf>
    <xf numFmtId="10" fontId="5" fillId="3" borderId="7" xfId="1" applyNumberFormat="1" applyFont="1" applyFill="1" applyBorder="1" applyAlignment="1">
      <alignment horizontal="center" vertical="center"/>
    </xf>
    <xf numFmtId="10" fontId="5" fillId="3" borderId="0" xfId="1" applyNumberFormat="1" applyFont="1" applyFill="1" applyBorder="1" applyAlignment="1">
      <alignment horizontal="center" vertical="center"/>
    </xf>
    <xf numFmtId="10" fontId="5" fillId="3" borderId="8" xfId="1" applyNumberFormat="1" applyFont="1" applyFill="1" applyBorder="1" applyAlignment="1">
      <alignment horizontal="center" vertical="center"/>
    </xf>
    <xf numFmtId="166" fontId="5" fillId="3" borderId="9" xfId="0" applyNumberFormat="1" applyFont="1" applyFill="1" applyBorder="1" applyAlignment="1">
      <alignment horizontal="center" vertical="center"/>
    </xf>
    <xf numFmtId="166" fontId="5" fillId="3" borderId="10" xfId="0" applyNumberFormat="1" applyFont="1" applyFill="1" applyBorder="1" applyAlignment="1">
      <alignment horizontal="center" vertical="center"/>
    </xf>
    <xf numFmtId="166" fontId="5" fillId="3" borderId="11" xfId="0" applyNumberFormat="1" applyFont="1" applyFill="1" applyBorder="1" applyAlignment="1">
      <alignment horizontal="center" vertical="center"/>
    </xf>
    <xf numFmtId="10" fontId="5" fillId="3" borderId="9" xfId="1" applyNumberFormat="1" applyFont="1" applyFill="1" applyBorder="1" applyAlignment="1">
      <alignment horizontal="center" vertical="center"/>
    </xf>
    <xf numFmtId="10" fontId="5" fillId="3" borderId="10" xfId="1" applyNumberFormat="1" applyFont="1" applyFill="1" applyBorder="1" applyAlignment="1">
      <alignment horizontal="center" vertical="center"/>
    </xf>
    <xf numFmtId="10" fontId="5" fillId="3" borderId="11" xfId="1" applyNumberFormat="1" applyFont="1" applyFill="1" applyBorder="1" applyAlignment="1">
      <alignment horizontal="center" vertical="center"/>
    </xf>
    <xf numFmtId="0" fontId="2" fillId="3" borderId="0" xfId="1" applyNumberFormat="1" applyFont="1" applyFill="1"/>
    <xf numFmtId="0" fontId="6" fillId="3" borderId="0" xfId="0" applyFont="1" applyFill="1" applyAlignment="1">
      <alignment horizontal="center" vertical="center"/>
    </xf>
    <xf numFmtId="0" fontId="7" fillId="3" borderId="0" xfId="0" applyFont="1" applyFill="1" applyBorder="1"/>
    <xf numFmtId="0" fontId="9" fillId="3" borderId="0" xfId="0" applyFont="1" applyFill="1" applyAlignment="1">
      <alignment horizontal="center" vertical="center"/>
    </xf>
    <xf numFmtId="0" fontId="8" fillId="3" borderId="0" xfId="0" applyFont="1" applyFill="1" applyBorder="1"/>
  </cellXfs>
  <cellStyles count="2">
    <cellStyle name="Normal" xfId="0" builtinId="0"/>
    <cellStyle name="Percent" xfId="1" builtinId="5"/>
  </cellStyles>
  <dxfs count="6">
    <dxf>
      <numFmt numFmtId="164" formatCode="yyyy\-mm\-dd\ hh:mm:ss"/>
    </dxf>
    <dxf>
      <numFmt numFmtId="164" formatCode="yyyy\-mm\-dd\ hh:mm:ss"/>
    </dxf>
    <dxf>
      <numFmt numFmtId="164" formatCode="yyyy\-mm\-dd\ hh:mm:ss"/>
    </dxf>
    <dxf>
      <numFmt numFmtId="164" formatCode="yyyy\-mm\-dd\ hh:mm:ss"/>
    </dxf>
    <dxf>
      <numFmt numFmtId="164" formatCode="yyyy\-mm\-dd\ hh:mm:ss"/>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[training_centre_dashboard_final.xlsx]Pivots!PivotTableCenterName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Pivots!$A$4:$A$7</c:f>
              <c:strCache>
                <c:ptCount val="3"/>
                <c:pt idx="0">
                  <c:v>CodeBase Abuja</c:v>
                </c:pt>
                <c:pt idx="1">
                  <c:v>DevCenter PH</c:v>
                </c:pt>
                <c:pt idx="2">
                  <c:v>TechHub Ikeja</c:v>
                </c:pt>
              </c:strCache>
            </c:strRef>
          </c:cat>
          <c:val>
            <c:numRef>
              <c:f>Pivots!$B$4:$B$7</c:f>
              <c:numCache>
                <c:formatCode>General</c:formatCode>
                <c:ptCount val="3"/>
                <c:pt idx="0">
                  <c:v>11</c:v>
                </c:pt>
                <c:pt idx="1">
                  <c:v>8</c:v>
                </c:pt>
                <c:pt idx="2">
                  <c:v>16</c:v>
                </c:pt>
              </c:numCache>
            </c:numRef>
          </c:val>
          <c:extLst>
            <c:ext xmlns:c16="http://schemas.microsoft.com/office/drawing/2014/chart" uri="{C3380CC4-5D6E-409C-BE32-E72D297353CC}">
              <c16:uniqueId val="{00000000-0CB4-4B1C-B63F-FE9A0FE358F9}"/>
            </c:ext>
          </c:extLst>
        </c:ser>
        <c:dLbls>
          <c:showLegendKey val="0"/>
          <c:showVal val="0"/>
          <c:showCatName val="0"/>
          <c:showSerName val="0"/>
          <c:showPercent val="0"/>
          <c:showBubbleSize val="0"/>
        </c:dLbls>
        <c:gapWidth val="219"/>
        <c:overlap val="-27"/>
        <c:axId val="1515483008"/>
        <c:axId val="1429741056"/>
      </c:barChart>
      <c:catAx>
        <c:axId val="15154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41056"/>
        <c:crosses val="autoZero"/>
        <c:auto val="1"/>
        <c:lblAlgn val="ctr"/>
        <c:lblOffset val="100"/>
        <c:noMultiLvlLbl val="0"/>
      </c:catAx>
      <c:valAx>
        <c:axId val="142974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8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Pivots!$D$3:$D$13</c:f>
              <c:strCache>
                <c:ptCount val="10"/>
                <c:pt idx="0">
                  <c:v>2025-07</c:v>
                </c:pt>
                <c:pt idx="1">
                  <c:v>2025-08</c:v>
                </c:pt>
                <c:pt idx="2">
                  <c:v>2025-10</c:v>
                </c:pt>
                <c:pt idx="3">
                  <c:v>2025-11</c:v>
                </c:pt>
                <c:pt idx="4">
                  <c:v>2025-12</c:v>
                </c:pt>
                <c:pt idx="5">
                  <c:v>2026-01</c:v>
                </c:pt>
                <c:pt idx="6">
                  <c:v>2026-02</c:v>
                </c:pt>
                <c:pt idx="7">
                  <c:v>2026-03</c:v>
                </c:pt>
                <c:pt idx="8">
                  <c:v>2026-05</c:v>
                </c:pt>
                <c:pt idx="9">
                  <c:v>2026-06</c:v>
                </c:pt>
              </c:strCache>
            </c:strRef>
          </c:cat>
          <c:val>
            <c:numRef>
              <c:f>Pivots!$E$3:$E$13</c:f>
              <c:numCache>
                <c:formatCode>General</c:formatCode>
                <c:ptCount val="10"/>
                <c:pt idx="0">
                  <c:v>3</c:v>
                </c:pt>
                <c:pt idx="1">
                  <c:v>1</c:v>
                </c:pt>
                <c:pt idx="2">
                  <c:v>4</c:v>
                </c:pt>
                <c:pt idx="3">
                  <c:v>4</c:v>
                </c:pt>
                <c:pt idx="4">
                  <c:v>2</c:v>
                </c:pt>
                <c:pt idx="5">
                  <c:v>3</c:v>
                </c:pt>
                <c:pt idx="6">
                  <c:v>4</c:v>
                </c:pt>
                <c:pt idx="7">
                  <c:v>8</c:v>
                </c:pt>
                <c:pt idx="8">
                  <c:v>1</c:v>
                </c:pt>
                <c:pt idx="9">
                  <c:v>5</c:v>
                </c:pt>
              </c:numCache>
            </c:numRef>
          </c:val>
          <c:smooth val="0"/>
          <c:extLst>
            <c:ext xmlns:c16="http://schemas.microsoft.com/office/drawing/2014/chart" uri="{C3380CC4-5D6E-409C-BE32-E72D297353CC}">
              <c16:uniqueId val="{00000000-BF36-46B6-90C2-DE91316A648F}"/>
            </c:ext>
          </c:extLst>
        </c:ser>
        <c:dLbls>
          <c:showLegendKey val="0"/>
          <c:showVal val="0"/>
          <c:showCatName val="0"/>
          <c:showSerName val="0"/>
          <c:showPercent val="0"/>
          <c:showBubbleSize val="0"/>
        </c:dLbls>
        <c:marker val="1"/>
        <c:smooth val="0"/>
        <c:axId val="1041770448"/>
        <c:axId val="1429717056"/>
      </c:lineChart>
      <c:catAx>
        <c:axId val="104177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17056"/>
        <c:crosses val="autoZero"/>
        <c:auto val="1"/>
        <c:lblAlgn val="ctr"/>
        <c:lblOffset val="100"/>
        <c:noMultiLvlLbl val="0"/>
      </c:catAx>
      <c:valAx>
        <c:axId val="142971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7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[training_centre_dashboard_final.xlsx]Pivots!PTstatus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Pivots!$L$2</c:f>
              <c:strCache>
                <c:ptCount val="1"/>
                <c:pt idx="0">
                  <c:v>Total</c:v>
                </c:pt>
              </c:strCache>
            </c:strRef>
          </c:tx>
          <c:spPr>
            <a:solidFill>
              <a:schemeClr val="accent1"/>
            </a:solidFill>
            <a:ln>
              <a:noFill/>
            </a:ln>
            <a:effectLst/>
          </c:spPr>
          <c:invertIfNegative val="0"/>
          <c:cat>
            <c:strRef>
              <c:f>Pivots!$K$3:$K$7</c:f>
              <c:strCache>
                <c:ptCount val="4"/>
                <c:pt idx="0">
                  <c:v>active</c:v>
                </c:pt>
                <c:pt idx="1">
                  <c:v>completed</c:v>
                </c:pt>
                <c:pt idx="2">
                  <c:v>dropped_out</c:v>
                </c:pt>
                <c:pt idx="3">
                  <c:v>suspended</c:v>
                </c:pt>
              </c:strCache>
            </c:strRef>
          </c:cat>
          <c:val>
            <c:numRef>
              <c:f>Pivots!$L$3:$L$7</c:f>
              <c:numCache>
                <c:formatCode>General</c:formatCode>
                <c:ptCount val="4"/>
                <c:pt idx="0">
                  <c:v>16</c:v>
                </c:pt>
                <c:pt idx="1">
                  <c:v>9</c:v>
                </c:pt>
                <c:pt idx="2">
                  <c:v>9</c:v>
                </c:pt>
                <c:pt idx="3">
                  <c:v>1</c:v>
                </c:pt>
              </c:numCache>
            </c:numRef>
          </c:val>
          <c:extLst>
            <c:ext xmlns:c16="http://schemas.microsoft.com/office/drawing/2014/chart" uri="{C3380CC4-5D6E-409C-BE32-E72D297353CC}">
              <c16:uniqueId val="{00000000-C0DC-4622-A4C5-230552180C94}"/>
            </c:ext>
          </c:extLst>
        </c:ser>
        <c:dLbls>
          <c:showLegendKey val="0"/>
          <c:showVal val="0"/>
          <c:showCatName val="0"/>
          <c:showSerName val="0"/>
          <c:showPercent val="0"/>
          <c:showBubbleSize val="0"/>
        </c:dLbls>
        <c:gapWidth val="150"/>
        <c:overlap val="100"/>
        <c:axId val="1551785680"/>
        <c:axId val="1429788096"/>
      </c:barChart>
      <c:catAx>
        <c:axId val="155178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88096"/>
        <c:crosses val="autoZero"/>
        <c:auto val="1"/>
        <c:lblAlgn val="ctr"/>
        <c:lblOffset val="100"/>
        <c:noMultiLvlLbl val="0"/>
      </c:catAx>
      <c:valAx>
        <c:axId val="142978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78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[training_centre_dashboard_final.xlsx]Pivots!PTcoursename</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Pivots!$I$2</c:f>
              <c:strCache>
                <c:ptCount val="1"/>
                <c:pt idx="0">
                  <c:v>Total</c:v>
                </c:pt>
              </c:strCache>
            </c:strRef>
          </c:tx>
          <c:spPr>
            <a:solidFill>
              <a:schemeClr val="accent1"/>
            </a:solidFill>
            <a:ln>
              <a:noFill/>
            </a:ln>
            <a:effectLst/>
          </c:spPr>
          <c:invertIfNegative val="0"/>
          <c:cat>
            <c:strRef>
              <c:f>Pivots!$H$3:$H$7</c:f>
              <c:strCache>
                <c:ptCount val="4"/>
                <c:pt idx="0">
                  <c:v>Cybersecurity Fundamentals</c:v>
                </c:pt>
                <c:pt idx="1">
                  <c:v>Data Science &amp; Analytics</c:v>
                </c:pt>
                <c:pt idx="2">
                  <c:v>Full Stack Web Development</c:v>
                </c:pt>
                <c:pt idx="3">
                  <c:v>UI/UX Design Professional</c:v>
                </c:pt>
              </c:strCache>
            </c:strRef>
          </c:cat>
          <c:val>
            <c:numRef>
              <c:f>Pivots!$I$3:$I$7</c:f>
              <c:numCache>
                <c:formatCode>General</c:formatCode>
                <c:ptCount val="4"/>
                <c:pt idx="0">
                  <c:v>5</c:v>
                </c:pt>
                <c:pt idx="1">
                  <c:v>10</c:v>
                </c:pt>
                <c:pt idx="2">
                  <c:v>18</c:v>
                </c:pt>
                <c:pt idx="3">
                  <c:v>2</c:v>
                </c:pt>
              </c:numCache>
            </c:numRef>
          </c:val>
          <c:extLst>
            <c:ext xmlns:c16="http://schemas.microsoft.com/office/drawing/2014/chart" uri="{C3380CC4-5D6E-409C-BE32-E72D297353CC}">
              <c16:uniqueId val="{00000000-CD7D-4882-9304-A4F998B1C96D}"/>
            </c:ext>
          </c:extLst>
        </c:ser>
        <c:dLbls>
          <c:showLegendKey val="0"/>
          <c:showVal val="0"/>
          <c:showCatName val="0"/>
          <c:showSerName val="0"/>
          <c:showPercent val="0"/>
          <c:showBubbleSize val="0"/>
        </c:dLbls>
        <c:gapWidth val="150"/>
        <c:overlap val="100"/>
        <c:axId val="1551800992"/>
        <c:axId val="1429752576"/>
      </c:barChart>
      <c:catAx>
        <c:axId val="155180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52576"/>
        <c:crosses val="autoZero"/>
        <c:auto val="1"/>
        <c:lblAlgn val="ctr"/>
        <c:lblOffset val="100"/>
        <c:noMultiLvlLbl val="0"/>
      </c:catAx>
      <c:valAx>
        <c:axId val="142975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80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[training_centre_dashboard_final.xlsx]Pivots!PTfinancial</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Pivots!$O$2</c:f>
              <c:strCache>
                <c:ptCount val="1"/>
                <c:pt idx="0">
                  <c:v>Total</c:v>
                </c:pt>
              </c:strCache>
            </c:strRef>
          </c:tx>
          <c:spPr>
            <a:solidFill>
              <a:schemeClr val="accent1"/>
            </a:solidFill>
            <a:ln>
              <a:noFill/>
            </a:ln>
            <a:effectLst/>
          </c:spPr>
          <c:invertIfNegative val="0"/>
          <c:cat>
            <c:strRef>
              <c:f>Pivots!$N$3:$N$6</c:f>
              <c:strCache>
                <c:ptCount val="3"/>
                <c:pt idx="0">
                  <c:v>Outstanding Amount</c:v>
                </c:pt>
                <c:pt idx="1">
                  <c:v>Total Amount Paid</c:v>
                </c:pt>
                <c:pt idx="2">
                  <c:v>Total Fees Due</c:v>
                </c:pt>
              </c:strCache>
            </c:strRef>
          </c:cat>
          <c:val>
            <c:numRef>
              <c:f>Pivots!$O$3:$O$6</c:f>
              <c:numCache>
                <c:formatCode>General</c:formatCode>
                <c:ptCount val="3"/>
                <c:pt idx="0">
                  <c:v>2291197.7200000002</c:v>
                </c:pt>
                <c:pt idx="1">
                  <c:v>10008802.279999999</c:v>
                </c:pt>
                <c:pt idx="2">
                  <c:v>12300000</c:v>
                </c:pt>
              </c:numCache>
            </c:numRef>
          </c:val>
          <c:extLst>
            <c:ext xmlns:c16="http://schemas.microsoft.com/office/drawing/2014/chart" uri="{C3380CC4-5D6E-409C-BE32-E72D297353CC}">
              <c16:uniqueId val="{00000000-22FF-4671-BD11-54A3EA3A7B6B}"/>
            </c:ext>
          </c:extLst>
        </c:ser>
        <c:dLbls>
          <c:showLegendKey val="0"/>
          <c:showVal val="0"/>
          <c:showCatName val="0"/>
          <c:showSerName val="0"/>
          <c:showPercent val="0"/>
          <c:showBubbleSize val="0"/>
        </c:dLbls>
        <c:gapWidth val="150"/>
        <c:overlap val="100"/>
        <c:axId val="935318000"/>
        <c:axId val="1429734816"/>
      </c:barChart>
      <c:catAx>
        <c:axId val="93531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34816"/>
        <c:crosses val="autoZero"/>
        <c:auto val="1"/>
        <c:lblAlgn val="ctr"/>
        <c:lblOffset val="100"/>
        <c:noMultiLvlLbl val="0"/>
      </c:catAx>
      <c:valAx>
        <c:axId val="142973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31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Pivots!$T$2</c:f>
              <c:strCache>
                <c:ptCount val="1"/>
                <c:pt idx="0">
                  <c:v>Total</c:v>
                </c:pt>
              </c:strCache>
            </c:strRef>
          </c:tx>
          <c:spPr>
            <a:solidFill>
              <a:schemeClr val="accent1"/>
            </a:solidFill>
            <a:ln>
              <a:noFill/>
            </a:ln>
            <a:effectLst/>
          </c:spPr>
          <c:invertIfNegative val="0"/>
          <c:cat>
            <c:strRef>
              <c:f>Pivots!$S$3:$S$14</c:f>
              <c:strCache>
                <c:ptCount val="11"/>
                <c:pt idx="0">
                  <c:v>Employed Full-time</c:v>
                </c:pt>
                <c:pt idx="1">
                  <c:v>Employed Part-time</c:v>
                </c:pt>
                <c:pt idx="2">
                  <c:v>Female Students</c:v>
                </c:pt>
                <c:pt idx="3">
                  <c:v>Male Students</c:v>
                </c:pt>
                <c:pt idx="4">
                  <c:v>Students</c:v>
                </c:pt>
                <c:pt idx="5">
                  <c:v>Students with BSc</c:v>
                </c:pt>
                <c:pt idx="6">
                  <c:v>Students with HND</c:v>
                </c:pt>
                <c:pt idx="7">
                  <c:v>Students with OND</c:v>
                </c:pt>
                <c:pt idx="8">
                  <c:v>Students with SSCE</c:v>
                </c:pt>
                <c:pt idx="9">
                  <c:v>Unemployed</c:v>
                </c:pt>
                <c:pt idx="10">
                  <c:v>Unique Students</c:v>
                </c:pt>
              </c:strCache>
            </c:strRef>
          </c:cat>
          <c:val>
            <c:numRef>
              <c:f>Pivots!$T$3:$T$14</c:f>
              <c:numCache>
                <c:formatCode>General</c:formatCode>
                <c:ptCount val="11"/>
                <c:pt idx="0">
                  <c:v>4</c:v>
                </c:pt>
                <c:pt idx="1">
                  <c:v>6</c:v>
                </c:pt>
                <c:pt idx="2">
                  <c:v>9</c:v>
                </c:pt>
                <c:pt idx="3">
                  <c:v>13</c:v>
                </c:pt>
                <c:pt idx="4">
                  <c:v>6</c:v>
                </c:pt>
                <c:pt idx="5">
                  <c:v>7</c:v>
                </c:pt>
                <c:pt idx="6">
                  <c:v>5</c:v>
                </c:pt>
                <c:pt idx="7">
                  <c:v>3</c:v>
                </c:pt>
                <c:pt idx="8">
                  <c:v>4</c:v>
                </c:pt>
                <c:pt idx="9">
                  <c:v>6</c:v>
                </c:pt>
                <c:pt idx="10">
                  <c:v>22</c:v>
                </c:pt>
              </c:numCache>
            </c:numRef>
          </c:val>
          <c:extLst>
            <c:ext xmlns:c16="http://schemas.microsoft.com/office/drawing/2014/chart" uri="{C3380CC4-5D6E-409C-BE32-E72D297353CC}">
              <c16:uniqueId val="{00000000-A65C-4214-9D9B-C5414FD45BE3}"/>
            </c:ext>
          </c:extLst>
        </c:ser>
        <c:dLbls>
          <c:showLegendKey val="0"/>
          <c:showVal val="0"/>
          <c:showCatName val="0"/>
          <c:showSerName val="0"/>
          <c:showPercent val="0"/>
          <c:showBubbleSize val="0"/>
        </c:dLbls>
        <c:gapWidth val="219"/>
        <c:overlap val="-27"/>
        <c:axId val="1644616624"/>
        <c:axId val="1429783776"/>
      </c:barChart>
      <c:catAx>
        <c:axId val="16446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83776"/>
        <c:crosses val="autoZero"/>
        <c:auto val="1"/>
        <c:lblAlgn val="ctr"/>
        <c:lblOffset val="100"/>
        <c:noMultiLvlLbl val="0"/>
      </c:catAx>
      <c:valAx>
        <c:axId val="142978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61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Enrolment</a:t>
            </a:r>
            <a:r>
              <a:rPr lang="en-US" b="1"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Pivots!$D$3:$D$13</c:f>
              <c:strCache>
                <c:ptCount val="10"/>
                <c:pt idx="0">
                  <c:v>2025-07</c:v>
                </c:pt>
                <c:pt idx="1">
                  <c:v>2025-08</c:v>
                </c:pt>
                <c:pt idx="2">
                  <c:v>2025-10</c:v>
                </c:pt>
                <c:pt idx="3">
                  <c:v>2025-11</c:v>
                </c:pt>
                <c:pt idx="4">
                  <c:v>2025-12</c:v>
                </c:pt>
                <c:pt idx="5">
                  <c:v>2026-01</c:v>
                </c:pt>
                <c:pt idx="6">
                  <c:v>2026-02</c:v>
                </c:pt>
                <c:pt idx="7">
                  <c:v>2026-03</c:v>
                </c:pt>
                <c:pt idx="8">
                  <c:v>2026-05</c:v>
                </c:pt>
                <c:pt idx="9">
                  <c:v>2026-06</c:v>
                </c:pt>
              </c:strCache>
            </c:strRef>
          </c:cat>
          <c:val>
            <c:numRef>
              <c:f>Pivots!$E$3:$E$13</c:f>
              <c:numCache>
                <c:formatCode>General</c:formatCode>
                <c:ptCount val="10"/>
                <c:pt idx="0">
                  <c:v>3</c:v>
                </c:pt>
                <c:pt idx="1">
                  <c:v>1</c:v>
                </c:pt>
                <c:pt idx="2">
                  <c:v>4</c:v>
                </c:pt>
                <c:pt idx="3">
                  <c:v>4</c:v>
                </c:pt>
                <c:pt idx="4">
                  <c:v>2</c:v>
                </c:pt>
                <c:pt idx="5">
                  <c:v>3</c:v>
                </c:pt>
                <c:pt idx="6">
                  <c:v>4</c:v>
                </c:pt>
                <c:pt idx="7">
                  <c:v>8</c:v>
                </c:pt>
                <c:pt idx="8">
                  <c:v>1</c:v>
                </c:pt>
                <c:pt idx="9">
                  <c:v>5</c:v>
                </c:pt>
              </c:numCache>
            </c:numRef>
          </c:val>
          <c:smooth val="0"/>
          <c:extLst>
            <c:ext xmlns:c16="http://schemas.microsoft.com/office/drawing/2014/chart" uri="{C3380CC4-5D6E-409C-BE32-E72D297353CC}">
              <c16:uniqueId val="{00000000-5EBD-4073-A472-7A855DB89902}"/>
            </c:ext>
          </c:extLst>
        </c:ser>
        <c:dLbls>
          <c:dLblPos val="t"/>
          <c:showLegendKey val="0"/>
          <c:showVal val="0"/>
          <c:showCatName val="0"/>
          <c:showSerName val="0"/>
          <c:showPercent val="0"/>
          <c:showBubbleSize val="0"/>
        </c:dLbls>
        <c:marker val="1"/>
        <c:smooth val="0"/>
        <c:axId val="1041770448"/>
        <c:axId val="1429717056"/>
      </c:lineChart>
      <c:catAx>
        <c:axId val="1041770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17056"/>
        <c:crosses val="autoZero"/>
        <c:auto val="1"/>
        <c:lblAlgn val="ctr"/>
        <c:lblOffset val="100"/>
        <c:noMultiLvlLbl val="0"/>
      </c:catAx>
      <c:valAx>
        <c:axId val="1429717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7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[training_centre_dashboard_final.xlsx]Pivots!PTcoursename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Enrolment by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Pivots!$I$2</c:f>
              <c:strCache>
                <c:ptCount val="1"/>
                <c:pt idx="0">
                  <c:v>Total</c:v>
                </c:pt>
              </c:strCache>
            </c:strRef>
          </c:tx>
          <c:spPr>
            <a:solidFill>
              <a:schemeClr val="accent1"/>
            </a:solidFill>
            <a:ln>
              <a:noFill/>
            </a:ln>
            <a:effectLst/>
          </c:spPr>
          <c:invertIfNegative val="0"/>
          <c:cat>
            <c:strRef>
              <c:f>Pivots!$H$3:$H$7</c:f>
              <c:strCache>
                <c:ptCount val="4"/>
                <c:pt idx="0">
                  <c:v>Cybersecurity Fundamentals</c:v>
                </c:pt>
                <c:pt idx="1">
                  <c:v>Data Science &amp; Analytics</c:v>
                </c:pt>
                <c:pt idx="2">
                  <c:v>Full Stack Web Development</c:v>
                </c:pt>
                <c:pt idx="3">
                  <c:v>UI/UX Design Professional</c:v>
                </c:pt>
              </c:strCache>
            </c:strRef>
          </c:cat>
          <c:val>
            <c:numRef>
              <c:f>Pivots!$I$3:$I$7</c:f>
              <c:numCache>
                <c:formatCode>General</c:formatCode>
                <c:ptCount val="4"/>
                <c:pt idx="0">
                  <c:v>5</c:v>
                </c:pt>
                <c:pt idx="1">
                  <c:v>10</c:v>
                </c:pt>
                <c:pt idx="2">
                  <c:v>18</c:v>
                </c:pt>
                <c:pt idx="3">
                  <c:v>2</c:v>
                </c:pt>
              </c:numCache>
            </c:numRef>
          </c:val>
          <c:extLst>
            <c:ext xmlns:c16="http://schemas.microsoft.com/office/drawing/2014/chart" uri="{C3380CC4-5D6E-409C-BE32-E72D297353CC}">
              <c16:uniqueId val="{00000000-F3C5-40C7-8CCE-F31541ED2494}"/>
            </c:ext>
          </c:extLst>
        </c:ser>
        <c:dLbls>
          <c:dLblPos val="ctr"/>
          <c:showLegendKey val="0"/>
          <c:showVal val="0"/>
          <c:showCatName val="0"/>
          <c:showSerName val="0"/>
          <c:showPercent val="0"/>
          <c:showBubbleSize val="0"/>
        </c:dLbls>
        <c:gapWidth val="150"/>
        <c:overlap val="100"/>
        <c:axId val="1551800992"/>
        <c:axId val="1429752576"/>
      </c:barChart>
      <c:catAx>
        <c:axId val="1551800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52576"/>
        <c:crosses val="autoZero"/>
        <c:auto val="1"/>
        <c:lblAlgn val="ctr"/>
        <c:lblOffset val="100"/>
        <c:noMultiLvlLbl val="0"/>
      </c:catAx>
      <c:valAx>
        <c:axId val="14297525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80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[training_centre_dashboard_final.xlsx]Pivots!PTstatus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Enrolment Outcomes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Pivots!$K$3:$K$7</c:f>
              <c:strCache>
                <c:ptCount val="4"/>
                <c:pt idx="0">
                  <c:v>active</c:v>
                </c:pt>
                <c:pt idx="1">
                  <c:v>completed</c:v>
                </c:pt>
                <c:pt idx="2">
                  <c:v>dropped_out</c:v>
                </c:pt>
                <c:pt idx="3">
                  <c:v>suspended</c:v>
                </c:pt>
              </c:strCache>
            </c:strRef>
          </c:cat>
          <c:val>
            <c:numRef>
              <c:f>Pivots!$L$3:$L$7</c:f>
              <c:numCache>
                <c:formatCode>General</c:formatCode>
                <c:ptCount val="4"/>
                <c:pt idx="0">
                  <c:v>16</c:v>
                </c:pt>
                <c:pt idx="1">
                  <c:v>9</c:v>
                </c:pt>
                <c:pt idx="2">
                  <c:v>9</c:v>
                </c:pt>
                <c:pt idx="3">
                  <c:v>1</c:v>
                </c:pt>
              </c:numCache>
            </c:numRef>
          </c:val>
          <c:extLst>
            <c:ext xmlns:c16="http://schemas.microsoft.com/office/drawing/2014/chart" uri="{C3380CC4-5D6E-409C-BE32-E72D297353CC}">
              <c16:uniqueId val="{00000000-DD51-426E-82FA-CEE55958FC96}"/>
            </c:ext>
          </c:extLst>
        </c:ser>
        <c:dLbls>
          <c:dLblPos val="ctr"/>
          <c:showLegendKey val="0"/>
          <c:showVal val="1"/>
          <c:showCatName val="0"/>
          <c:showSerName val="0"/>
          <c:showPercent val="0"/>
          <c:showBubbleSize val="0"/>
        </c:dLbls>
        <c:gapWidth val="150"/>
        <c:overlap val="100"/>
        <c:axId val="1551785680"/>
        <c:axId val="1429788096"/>
      </c:barChart>
      <c:catAx>
        <c:axId val="155178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88096"/>
        <c:crosses val="autoZero"/>
        <c:auto val="1"/>
        <c:lblAlgn val="ctr"/>
        <c:lblOffset val="100"/>
        <c:noMultiLvlLbl val="0"/>
      </c:catAx>
      <c:valAx>
        <c:axId val="142978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78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[training_centre_dashboard_final.xlsx]Pivots!PivotTableCenterName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Centre</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Pivots!$A$4:$A$7</c:f>
              <c:strCache>
                <c:ptCount val="3"/>
                <c:pt idx="0">
                  <c:v>CodeBase Abuja</c:v>
                </c:pt>
                <c:pt idx="1">
                  <c:v>DevCenter PH</c:v>
                </c:pt>
                <c:pt idx="2">
                  <c:v>TechHub Ikeja</c:v>
                </c:pt>
              </c:strCache>
            </c:strRef>
          </c:cat>
          <c:val>
            <c:numRef>
              <c:f>Pivots!$B$4:$B$7</c:f>
              <c:numCache>
                <c:formatCode>General</c:formatCode>
                <c:ptCount val="3"/>
                <c:pt idx="0">
                  <c:v>11</c:v>
                </c:pt>
                <c:pt idx="1">
                  <c:v>8</c:v>
                </c:pt>
                <c:pt idx="2">
                  <c:v>16</c:v>
                </c:pt>
              </c:numCache>
            </c:numRef>
          </c:val>
          <c:extLst>
            <c:ext xmlns:c16="http://schemas.microsoft.com/office/drawing/2014/chart" uri="{C3380CC4-5D6E-409C-BE32-E72D297353CC}">
              <c16:uniqueId val="{00000000-2915-4DF9-ADB8-F3E7F16CF570}"/>
            </c:ext>
          </c:extLst>
        </c:ser>
        <c:dLbls>
          <c:dLblPos val="outEnd"/>
          <c:showLegendKey val="0"/>
          <c:showVal val="1"/>
          <c:showCatName val="0"/>
          <c:showSerName val="0"/>
          <c:showPercent val="0"/>
          <c:showBubbleSize val="0"/>
        </c:dLbls>
        <c:gapWidth val="219"/>
        <c:overlap val="-27"/>
        <c:axId val="1515483008"/>
        <c:axId val="1429741056"/>
      </c:barChart>
      <c:catAx>
        <c:axId val="15154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41056"/>
        <c:crosses val="autoZero"/>
        <c:auto val="1"/>
        <c:lblAlgn val="ctr"/>
        <c:lblOffset val="100"/>
        <c:noMultiLvlLbl val="0"/>
      </c:catAx>
      <c:valAx>
        <c:axId val="142974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8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[training_centre_dashboard_final.xlsx]Pivots!PTfinancial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Financial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Pivots!$O$2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Pivots!$N$3:$N$6</c:f>
              <c:strCache>
                <c:ptCount val="3"/>
                <c:pt idx="0">
                  <c:v>Outstanding Amount</c:v>
                </c:pt>
                <c:pt idx="1">
                  <c:v>Total Amount Paid</c:v>
                </c:pt>
                <c:pt idx="2">
                  <c:v>Total Fees Due</c:v>
                </c:pt>
              </c:strCache>
            </c:strRef>
          </c:cat>
          <c:val>
            <c:numRef>
              <c:f>Pivots!$O$3:$O$6</c:f>
              <c:numCache>
                <c:formatCode>General</c:formatCode>
                <c:ptCount val="3"/>
                <c:pt idx="0">
                  <c:v>2291197.7200000002</c:v>
                </c:pt>
                <c:pt idx="1">
                  <c:v>10008802.279999999</c:v>
                </c:pt>
                <c:pt idx="2">
                  <c:v>12300000</c:v>
                </c:pt>
              </c:numCache>
            </c:numRef>
          </c:val>
          <c:extLst>
            <c:ext xmlns:c16="http://schemas.microsoft.com/office/drawing/2014/chart" uri="{C3380CC4-5D6E-409C-BE32-E72D297353CC}">
              <c16:uniqueId val="{00000000-C016-407E-BAFC-E82928C30F8E}"/>
            </c:ext>
          </c:extLst>
        </c:ser>
        <c:dLbls>
          <c:dLblPos val="ctr"/>
          <c:showLegendKey val="0"/>
          <c:showVal val="1"/>
          <c:showCatName val="0"/>
          <c:showSerName val="0"/>
          <c:showPercent val="0"/>
          <c:showBubbleSize val="0"/>
        </c:dLbls>
        <c:gapWidth val="150"/>
        <c:overlap val="100"/>
        <c:axId val="935318000"/>
        <c:axId val="1429734816"/>
      </c:barChart>
      <c:catAx>
        <c:axId val="93531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34816"/>
        <c:crosses val="autoZero"/>
        <c:auto val="1"/>
        <c:lblAlgn val="ctr"/>
        <c:lblOffset val="100"/>
        <c:noMultiLvlLbl val="0"/>
      </c:catAx>
      <c:valAx>
        <c:axId val="142973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31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[training_centre_dashboard_final.xlsx]Pivots!PivotTable11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Student Demographics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Pivots!$T$2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Pivots!$S$3:$S$14</c:f>
              <c:strCache>
                <c:ptCount val="11"/>
                <c:pt idx="0">
                  <c:v>Employed Full-time</c:v>
                </c:pt>
                <c:pt idx="1">
                  <c:v>Employed Part-time</c:v>
                </c:pt>
                <c:pt idx="2">
                  <c:v>Female Students</c:v>
                </c:pt>
                <c:pt idx="3">
                  <c:v>Male Students</c:v>
                </c:pt>
                <c:pt idx="4">
                  <c:v>Students</c:v>
                </c:pt>
                <c:pt idx="5">
                  <c:v>Students with BSc</c:v>
                </c:pt>
                <c:pt idx="6">
                  <c:v>Students with HND</c:v>
                </c:pt>
                <c:pt idx="7">
                  <c:v>Students with OND</c:v>
                </c:pt>
                <c:pt idx="8">
                  <c:v>Students with SSCE</c:v>
                </c:pt>
                <c:pt idx="9">
                  <c:v>Unemployed</c:v>
                </c:pt>
                <c:pt idx="10">
                  <c:v>Unique Students</c:v>
                </c:pt>
              </c:strCache>
            </c:strRef>
          </c:cat>
          <c:val>
            <c:numRef>
              <c:f>Pivots!$T$3:$T$14</c:f>
              <c:numCache>
                <c:formatCode>General</c:formatCode>
                <c:ptCount val="11"/>
                <c:pt idx="0">
                  <c:v>4</c:v>
                </c:pt>
                <c:pt idx="1">
                  <c:v>6</c:v>
                </c:pt>
                <c:pt idx="2">
                  <c:v>9</c:v>
                </c:pt>
                <c:pt idx="3">
                  <c:v>13</c:v>
                </c:pt>
                <c:pt idx="4">
                  <c:v>6</c:v>
                </c:pt>
                <c:pt idx="5">
                  <c:v>7</c:v>
                </c:pt>
                <c:pt idx="6">
                  <c:v>5</c:v>
                </c:pt>
                <c:pt idx="7">
                  <c:v>3</c:v>
                </c:pt>
                <c:pt idx="8">
                  <c:v>4</c:v>
                </c:pt>
                <c:pt idx="9">
                  <c:v>6</c:v>
                </c:pt>
                <c:pt idx="10">
                  <c:v>22</c:v>
                </c:pt>
              </c:numCache>
            </c:numRef>
          </c:val>
          <c:extLst>
            <c:ext xmlns:c16="http://schemas.microsoft.com/office/drawing/2014/chart" uri="{C3380CC4-5D6E-409C-BE32-E72D297353CC}">
              <c16:uniqueId val="{00000000-E2C2-4FC2-A1F2-B71A3894E5A2}"/>
            </c:ext>
          </c:extLst>
        </c:ser>
        <c:dLbls>
          <c:dLblPos val="outEnd"/>
          <c:showLegendKey val="0"/>
          <c:showVal val="1"/>
          <c:showCatName val="0"/>
          <c:showSerName val="0"/>
          <c:showPercent val="0"/>
          <c:showBubbleSize val="0"/>
        </c:dLbls>
        <c:gapWidth val="219"/>
        <c:overlap val="-27"/>
        <c:axId val="1644616624"/>
        <c:axId val="1429783776"/>
      </c:barChart>
      <c:catAx>
        <c:axId val="16446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83776"/>
        <c:crosses val="autoZero"/>
        <c:auto val="1"/>
        <c:lblAlgn val="ctr"/>
        <c:lblOffset val="100"/>
        <c:noMultiLvlLbl val="0"/>
      </c:catAx>
      <c:valAx>
        <c:axId val="142978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61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161925</xdr:rowOff>
    </xdr:from>
    <xdr:to>
      <xdr:col>2</xdr:col>
      <xdr:colOff>177800</xdr:colOff>
      <xdr:row>24</xdr:row>
      <xdr:rowOff>142875</xdr:rowOff>
    </xdr:to>
    <xdr:graphicFrame macro="">
      <xdr:nvGraphicFramePr>
        <xdr:cNvPr id="2" name="Chart 1">
          <a:extLst>
            <a:ext uri="{FF2B5EF4-FFF2-40B4-BE49-F238E27FC236}">
              <a16:creationId xmlns:a16="http://schemas.microsoft.com/office/drawing/2014/main" id="{8253B5DD-37F8-0E07-8BA8-37282BD53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368300</xdr:colOff>
      <xdr:row>13</xdr:row>
      <xdr:rowOff>177800</xdr:rowOff>
    </xdr:from>
    <xdr:to>
      <xdr:col>5</xdr:col>
      <xdr:colOff>368300</xdr:colOff>
      <xdr:row>25</xdr:row>
      <xdr:rowOff>76200</xdr:rowOff>
    </xdr:to>
    <xdr:graphicFrame macro="">
      <xdr:nvGraphicFramePr>
        <xdr:cNvPr id="5" name="Chart 4">
          <a:extLst>
            <a:ext uri="{FF2B5EF4-FFF2-40B4-BE49-F238E27FC236}">
              <a16:creationId xmlns:a16="http://schemas.microsoft.com/office/drawing/2014/main" id="{6063E57E-B2C8-2209-BCCB-79414D3C7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50800</xdr:colOff>
      <xdr:row>16</xdr:row>
      <xdr:rowOff>0</xdr:rowOff>
    </xdr:from>
    <xdr:to>
      <xdr:col>5</xdr:col>
      <xdr:colOff>444500</xdr:colOff>
      <xdr:row>29</xdr:row>
      <xdr:rowOff>130175</xdr:rowOff>
    </xdr:to>
    <mc:AlternateContent xmlns:mc="http://schemas.openxmlformats.org/markup-compatibility/2006">
      <mc:Choice xmlns:a14="http://schemas.microsoft.com/office/drawing/2010/main" Requires="a14">
        <xdr:graphicFrame macro="">
          <xdr:nvGraphicFramePr>
            <xdr:cNvPr id="6" name="enrollment_month">
              <a:extLst>
                <a:ext uri="{FF2B5EF4-FFF2-40B4-BE49-F238E27FC236}">
                  <a16:creationId xmlns:a16="http://schemas.microsoft.com/office/drawing/2014/main" id="{601798D4-B049-B4D7-51CF-B9920EA23DDF}"/>
                </a:ext>
              </a:extLst>
            </xdr:cNvPr>
            <xdr:cNvGraphicFramePr/>
          </xdr:nvGraphicFramePr>
          <xdr:xfrm>
            <a:off x="0" y="0"/>
            <a:ext cx="0" cy="0"/>
          </xdr:xfrm>
          <a:graphic>
            <a:graphicData uri="http://schemas.microsoft.com/office/drawing/2010/slicer">
              <sle:slicer xmlns:sle="http://schemas.microsoft.com/office/drawing/2010/slicer" name="enrollment_month"/>
            </a:graphicData>
          </a:graphic>
        </xdr:graphicFrame>
      </mc:Choice>
      <mc:Fallback>
        <xdr:sp macro="" textlink="">
          <xdr:nvSpPr>
            <xdr:cNvPr id="0" name=""/>
            <xdr:cNvSpPr>
              <a:spLocks noTextEdit="1"/>
            </xdr:cNvSpPr>
          </xdr:nvSpPr>
          <xdr:spPr>
            <a:xfrm>
              <a:off x="4572000" y="29464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114300</xdr:colOff>
      <xdr:row>10</xdr:row>
      <xdr:rowOff>31750</xdr:rowOff>
    </xdr:from>
    <xdr:to>
      <xdr:col>12</xdr:col>
      <xdr:colOff>311150</xdr:colOff>
      <xdr:row>20</xdr:row>
      <xdr:rowOff>177800</xdr:rowOff>
    </xdr:to>
    <xdr:graphicFrame macro="">
      <xdr:nvGraphicFramePr>
        <xdr:cNvPr id="9" name="Chart 8">
          <a:extLst>
            <a:ext uri="{FF2B5EF4-FFF2-40B4-BE49-F238E27FC236}">
              <a16:creationId xmlns:a16="http://schemas.microsoft.com/office/drawing/2014/main" id="{ED18696F-A43D-BAE3-70D1-9C37A651D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203200</xdr:colOff>
      <xdr:row>10</xdr:row>
      <xdr:rowOff>0</xdr:rowOff>
    </xdr:from>
    <xdr:to>
      <xdr:col>8</xdr:col>
      <xdr:colOff>1327150</xdr:colOff>
      <xdr:row>20</xdr:row>
      <xdr:rowOff>165100</xdr:rowOff>
    </xdr:to>
    <xdr:graphicFrame macro="">
      <xdr:nvGraphicFramePr>
        <xdr:cNvPr id="11" name="Chart 10">
          <a:extLst>
            <a:ext uri="{FF2B5EF4-FFF2-40B4-BE49-F238E27FC236}">
              <a16:creationId xmlns:a16="http://schemas.microsoft.com/office/drawing/2014/main" id="{C40E0CAC-325D-88A9-9D1B-88E4F4E3C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488950</xdr:colOff>
      <xdr:row>9</xdr:row>
      <xdr:rowOff>171450</xdr:rowOff>
    </xdr:from>
    <xdr:to>
      <xdr:col>16</xdr:col>
      <xdr:colOff>571500</xdr:colOff>
      <xdr:row>20</xdr:row>
      <xdr:rowOff>158750</xdr:rowOff>
    </xdr:to>
    <xdr:graphicFrame macro="">
      <xdr:nvGraphicFramePr>
        <xdr:cNvPr id="14" name="Chart 13">
          <a:extLst>
            <a:ext uri="{FF2B5EF4-FFF2-40B4-BE49-F238E27FC236}">
              <a16:creationId xmlns:a16="http://schemas.microsoft.com/office/drawing/2014/main" id="{82DD3C15-9871-C65A-622C-6E9BB45A4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406400</xdr:colOff>
      <xdr:row>16</xdr:row>
      <xdr:rowOff>120650</xdr:rowOff>
    </xdr:from>
    <xdr:to>
      <xdr:col>17</xdr:col>
      <xdr:colOff>38100</xdr:colOff>
      <xdr:row>30</xdr:row>
      <xdr:rowOff>66675</xdr:rowOff>
    </xdr:to>
    <mc:AlternateContent xmlns:mc="http://schemas.openxmlformats.org/markup-compatibility/2006">
      <mc:Choice xmlns:a14="http://schemas.microsoft.com/office/drawing/2010/main" Requires="a14">
        <xdr:graphicFrame macro="">
          <xdr:nvGraphicFramePr>
            <xdr:cNvPr id="15" name="Metric">
              <a:extLst>
                <a:ext uri="{FF2B5EF4-FFF2-40B4-BE49-F238E27FC236}">
                  <a16:creationId xmlns:a16="http://schemas.microsoft.com/office/drawing/2014/main" id="{310F744E-F720-EDA4-9892-DCA4200CDD06}"/>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dr:sp macro="" textlink="">
          <xdr:nvSpPr>
            <xdr:cNvPr id="0" name=""/>
            <xdr:cNvSpPr>
              <a:spLocks noTextEdit="1"/>
            </xdr:cNvSpPr>
          </xdr:nvSpPr>
          <xdr:spPr>
            <a:xfrm>
              <a:off x="16370300" y="30670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69850</xdr:colOff>
      <xdr:row>15</xdr:row>
      <xdr:rowOff>0</xdr:rowOff>
    </xdr:from>
    <xdr:to>
      <xdr:col>22</xdr:col>
      <xdr:colOff>330200</xdr:colOff>
      <xdr:row>27</xdr:row>
      <xdr:rowOff>44450</xdr:rowOff>
    </xdr:to>
    <xdr:graphicFrame macro="">
      <xdr:nvGraphicFramePr>
        <xdr:cNvPr id="16" name="Chart 15">
          <a:extLst>
            <a:ext uri="{FF2B5EF4-FFF2-40B4-BE49-F238E27FC236}">
              <a16:creationId xmlns:a16="http://schemas.microsoft.com/office/drawing/2014/main" id="{42440F67-2309-BEE6-5476-FC3B59727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1</xdr:rowOff>
    </xdr:from>
    <xdr:to>
      <xdr:col>4</xdr:col>
      <xdr:colOff>0</xdr:colOff>
      <xdr:row>8</xdr:row>
      <xdr:rowOff>6350</xdr:rowOff>
    </xdr:to>
    <mc:AlternateContent xmlns:mc="http://schemas.openxmlformats.org/markup-compatibility/2006">
      <mc:Choice xmlns:a14="http://schemas.microsoft.com/office/drawing/2010/main" Requires="a14">
        <xdr:graphicFrame macro="">
          <xdr:nvGraphicFramePr>
            <xdr:cNvPr id="4" name="center_name">
              <a:extLst>
                <a:ext uri="{FF2B5EF4-FFF2-40B4-BE49-F238E27FC236}">
                  <a16:creationId xmlns:a16="http://schemas.microsoft.com/office/drawing/2014/main" id="{49E35302-83D6-407B-9BEF-7D028F0BCCA6}"/>
                </a:ext>
              </a:extLst>
            </xdr:cNvPr>
            <xdr:cNvGraphicFramePr/>
          </xdr:nvGraphicFramePr>
          <xdr:xfrm>
            <a:off x="0" y="0"/>
            <a:ext cx="0" cy="0"/>
          </xdr:xfrm>
          <a:graphic>
            <a:graphicData uri="http://schemas.microsoft.com/office/drawing/2010/slicer">
              <sle:slicer xmlns:sle="http://schemas.microsoft.com/office/drawing/2010/slicer" name="center_name"/>
            </a:graphicData>
          </a:graphic>
        </xdr:graphicFrame>
      </mc:Choice>
      <mc:Fallback>
        <xdr:sp macro="" textlink="">
          <xdr:nvSpPr>
            <xdr:cNvPr id="0" name=""/>
            <xdr:cNvSpPr>
              <a:spLocks noTextEdit="1"/>
            </xdr:cNvSpPr>
          </xdr:nvSpPr>
          <xdr:spPr>
            <a:xfrm>
              <a:off x="0" y="882651"/>
              <a:ext cx="3530600" cy="742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12700</xdr:colOff>
      <xdr:row>4</xdr:row>
      <xdr:rowOff>6351</xdr:rowOff>
    </xdr:from>
    <xdr:to>
      <xdr:col>9</xdr:col>
      <xdr:colOff>12700</xdr:colOff>
      <xdr:row>8</xdr:row>
      <xdr:rowOff>12701</xdr:rowOff>
    </xdr:to>
    <mc:AlternateContent xmlns:mc="http://schemas.openxmlformats.org/markup-compatibility/2006">
      <mc:Choice xmlns:a14="http://schemas.microsoft.com/office/drawing/2010/main" Requires="a14">
        <xdr:graphicFrame macro="">
          <xdr:nvGraphicFramePr>
            <xdr:cNvPr id="5" name="course_name">
              <a:extLst>
                <a:ext uri="{FF2B5EF4-FFF2-40B4-BE49-F238E27FC236}">
                  <a16:creationId xmlns:a16="http://schemas.microsoft.com/office/drawing/2014/main" id="{F116C9BE-41F0-4DF1-9061-F773D489149C}"/>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dr:sp macro="" textlink="">
          <xdr:nvSpPr>
            <xdr:cNvPr id="0" name=""/>
            <xdr:cNvSpPr>
              <a:spLocks noTextEdit="1"/>
            </xdr:cNvSpPr>
          </xdr:nvSpPr>
          <xdr:spPr>
            <a:xfrm>
              <a:off x="4425950" y="889001"/>
              <a:ext cx="3530600" cy="742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4</xdr:row>
      <xdr:rowOff>1</xdr:rowOff>
    </xdr:from>
    <xdr:to>
      <xdr:col>14</xdr:col>
      <xdr:colOff>0</xdr:colOff>
      <xdr:row>8</xdr:row>
      <xdr:rowOff>12701</xdr:rowOff>
    </xdr:to>
    <mc:AlternateContent xmlns:mc="http://schemas.openxmlformats.org/markup-compatibility/2006">
      <mc:Choice xmlns:a14="http://schemas.microsoft.com/office/drawing/2010/main" Requires="a14">
        <xdr:graphicFrame macro="">
          <xdr:nvGraphicFramePr>
            <xdr:cNvPr id="6" name="status">
              <a:extLst>
                <a:ext uri="{FF2B5EF4-FFF2-40B4-BE49-F238E27FC236}">
                  <a16:creationId xmlns:a16="http://schemas.microsoft.com/office/drawing/2014/main" id="{FCBAC067-1E95-438D-BD32-630EBB60808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8826500" y="882651"/>
              <a:ext cx="3530600" cy="749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0</xdr:rowOff>
    </xdr:from>
    <xdr:to>
      <xdr:col>7</xdr:col>
      <xdr:colOff>0</xdr:colOff>
      <xdr:row>25</xdr:row>
      <xdr:rowOff>0</xdr:rowOff>
    </xdr:to>
    <xdr:graphicFrame macro="">
      <xdr:nvGraphicFramePr>
        <xdr:cNvPr id="7" name="Chart 6">
          <a:extLst>
            <a:ext uri="{FF2B5EF4-FFF2-40B4-BE49-F238E27FC236}">
              <a16:creationId xmlns:a16="http://schemas.microsoft.com/office/drawing/2014/main" id="{4F496D15-5BD4-427B-9E10-0DEE7097B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15</xdr:row>
      <xdr:rowOff>0</xdr:rowOff>
    </xdr:from>
    <xdr:to>
      <xdr:col>13</xdr:col>
      <xdr:colOff>876300</xdr:colOff>
      <xdr:row>25</xdr:row>
      <xdr:rowOff>0</xdr:rowOff>
    </xdr:to>
    <xdr:graphicFrame macro="">
      <xdr:nvGraphicFramePr>
        <xdr:cNvPr id="8" name="Chart 7">
          <a:extLst>
            <a:ext uri="{FF2B5EF4-FFF2-40B4-BE49-F238E27FC236}">
              <a16:creationId xmlns:a16="http://schemas.microsoft.com/office/drawing/2014/main" id="{51EC3949-FFA4-4350-9B7A-6186326C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25400</xdr:colOff>
      <xdr:row>26</xdr:row>
      <xdr:rowOff>177800</xdr:rowOff>
    </xdr:from>
    <xdr:to>
      <xdr:col>13</xdr:col>
      <xdr:colOff>876300</xdr:colOff>
      <xdr:row>38</xdr:row>
      <xdr:rowOff>6350</xdr:rowOff>
    </xdr:to>
    <xdr:graphicFrame macro="">
      <xdr:nvGraphicFramePr>
        <xdr:cNvPr id="9" name="Chart 8">
          <a:extLst>
            <a:ext uri="{FF2B5EF4-FFF2-40B4-BE49-F238E27FC236}">
              <a16:creationId xmlns:a16="http://schemas.microsoft.com/office/drawing/2014/main" id="{EA42901E-0DAE-4D14-9E1E-241E9F35C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177800</xdr:rowOff>
    </xdr:from>
    <xdr:to>
      <xdr:col>7</xdr:col>
      <xdr:colOff>23813</xdr:colOff>
      <xdr:row>38</xdr:row>
      <xdr:rowOff>0</xdr:rowOff>
    </xdr:to>
    <xdr:graphicFrame macro="">
      <xdr:nvGraphicFramePr>
        <xdr:cNvPr id="10" name="Chart 9">
          <a:extLst>
            <a:ext uri="{FF2B5EF4-FFF2-40B4-BE49-F238E27FC236}">
              <a16:creationId xmlns:a16="http://schemas.microsoft.com/office/drawing/2014/main" id="{0C0F37FA-7135-444D-881A-165DA817B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0</xdr:rowOff>
    </xdr:from>
    <xdr:to>
      <xdr:col>13</xdr:col>
      <xdr:colOff>876300</xdr:colOff>
      <xdr:row>51</xdr:row>
      <xdr:rowOff>4763</xdr:rowOff>
    </xdr:to>
    <xdr:graphicFrame macro="">
      <xdr:nvGraphicFramePr>
        <xdr:cNvPr id="11" name="Chart 10">
          <a:extLst>
            <a:ext uri="{FF2B5EF4-FFF2-40B4-BE49-F238E27FC236}">
              <a16:creationId xmlns:a16="http://schemas.microsoft.com/office/drawing/2014/main" id="{C04DE64D-8210-4F13-B1C6-665EC5B4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53</xdr:row>
      <xdr:rowOff>12700</xdr:rowOff>
    </xdr:from>
    <xdr:to>
      <xdr:col>13</xdr:col>
      <xdr:colOff>876300</xdr:colOff>
      <xdr:row>63</xdr:row>
      <xdr:rowOff>177801</xdr:rowOff>
    </xdr:to>
    <xdr:graphicFrame macro="">
      <xdr:nvGraphicFramePr>
        <xdr:cNvPr id="12" name="Chart 11">
          <a:extLst>
            <a:ext uri="{FF2B5EF4-FFF2-40B4-BE49-F238E27FC236}">
              <a16:creationId xmlns:a16="http://schemas.microsoft.com/office/drawing/2014/main" id="{BA92BF3B-757D-4B60-B3E3-635B8292E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iE Odia" refreshedDate="46269.335219097222" createdVersion="8" refreshedVersion="8" minRefreshableVersion="3" recordCount="35" xr:uid="{6566829B-7054-4A97-80AD-C2AFC82607EC}">
  <cacheSource type="worksheet">
    <worksheetSource name="tblEnrollment"/>
  </cacheSource>
  <cacheFields count="34">
    <cacheField name="enrollment_id" numFmtId="0">
      <sharedItems/>
    </cacheField>
    <cacheField name="student_id" numFmtId="0">
      <sharedItems/>
    </cacheField>
    <cacheField name="course_id" numFmtId="0">
      <sharedItems/>
    </cacheField>
    <cacheField name="center_id" numFmtId="0">
      <sharedItems/>
    </cacheField>
    <cacheField name="enrollment_date" numFmtId="164">
      <sharedItems containsSemiMixedTypes="0" containsNonDate="0" containsDate="1" containsString="0" minDate="2025-07-09T00:00:00" maxDate="2026-06-27T00:00:00"/>
    </cacheField>
    <cacheField name="start_date" numFmtId="164">
      <sharedItems containsSemiMixedTypes="0" containsNonDate="0" containsDate="1" containsString="0" minDate="2025-07-23T00:00:00" maxDate="2026-07-09T00:00:00"/>
    </cacheField>
    <cacheField name="expected_end_date" numFmtId="164">
      <sharedItems containsSemiMixedTypes="0" containsNonDate="0" containsDate="1" containsString="0" minDate="2025-12-10T00:00:00" maxDate="2026-12-24T00:00:00"/>
    </cacheField>
    <cacheField name="actual_end_date" numFmtId="0">
      <sharedItems containsNonDate="0" containsDate="1" containsString="0" containsBlank="1" minDate="2025-08-29T00:00:00" maxDate="2026-08-05T00:00:00"/>
    </cacheField>
    <cacheField name="status" numFmtId="0">
      <sharedItems count="4">
        <s v="active"/>
        <s v="dropped_out"/>
        <s v="completed"/>
        <s v="suspended"/>
      </sharedItems>
    </cacheField>
    <cacheField name="deposit_amount" numFmtId="0">
      <sharedItems containsSemiMixedTypes="0" containsString="0" containsNumber="1" containsInteger="1" minValue="25000" maxValue="400000"/>
    </cacheField>
    <cacheField name="payment_plan" numFmtId="0">
      <sharedItems/>
    </cacheField>
    <cacheField name="admission_staff" numFmtId="0">
      <sharedItems/>
    </cacheField>
    <cacheField name="full_name" numFmtId="0">
      <sharedItems/>
    </cacheField>
    <cacheField name="email" numFmtId="0">
      <sharedItems/>
    </cacheField>
    <cacheField name="phone" numFmtId="0">
      <sharedItems containsSemiMixedTypes="0" containsString="0" containsNumber="1" containsInteger="1" minValue="7016566701" maxValue="9087654321"/>
    </cacheField>
    <cacheField name="dob" numFmtId="164">
      <sharedItems containsSemiMixedTypes="0" containsNonDate="0" containsDate="1" containsString="0" minDate="1988-03-17T00:00:00" maxDate="2002-09-02T00:00:00"/>
    </cacheField>
    <cacheField name="gender" numFmtId="0">
      <sharedItems/>
    </cacheField>
    <cacheField name="education_level" numFmtId="0">
      <sharedItems/>
    </cacheField>
    <cacheField name="employment_status" numFmtId="0">
      <sharedItems/>
    </cacheField>
    <cacheField name="monthly_income_range" numFmtId="0">
      <sharedItems/>
    </cacheField>
    <cacheField name="referral_source" numFmtId="0">
      <sharedItems/>
    </cacheField>
    <cacheField name="registration_date" numFmtId="164">
      <sharedItems containsSemiMixedTypes="0" containsNonDate="0" containsDate="1" containsString="0" minDate="2025-06-27T00:00:00" maxDate="2026-06-10T00:00:00"/>
    </cacheField>
    <cacheField name="course_code" numFmtId="0">
      <sharedItems/>
    </cacheField>
    <cacheField name="course_name" numFmtId="0">
      <sharedItems count="4">
        <s v="Full Stack Web Development"/>
        <s v="Data Science &amp; Analytics"/>
        <s v="UI/UX Design Professional"/>
        <s v="Cybersecurity Fundamentals"/>
      </sharedItems>
    </cacheField>
    <cacheField name="category" numFmtId="0">
      <sharedItems/>
    </cacheField>
    <cacheField name="duration_weeks" numFmtId="0">
      <sharedItems containsSemiMixedTypes="0" containsString="0" containsNumber="1" containsInteger="1" minValue="12" maxValue="24"/>
    </cacheField>
    <cacheField name="total_fee" numFmtId="0">
      <sharedItems containsSemiMixedTypes="0" containsString="0" containsNumber="1" containsInteger="1" minValue="250000" maxValue="400000"/>
    </cacheField>
    <cacheField name="description" numFmtId="0">
      <sharedItems/>
    </cacheField>
    <cacheField name="center_name" numFmtId="0">
      <sharedItems count="3">
        <s v="TechHub Ikeja"/>
        <s v="CodeBase Abuja"/>
        <s v="DevCenter PH"/>
      </sharedItems>
    </cacheField>
    <cacheField name="city" numFmtId="0">
      <sharedItems/>
    </cacheField>
    <cacheField name="state" numFmtId="0">
      <sharedItems/>
    </cacheField>
    <cacheField name="manager_name" numFmtId="0">
      <sharedItems/>
    </cacheField>
    <cacheField name="year_opened" numFmtId="0">
      <sharedItems containsSemiMixedTypes="0" containsString="0" containsNumber="1" containsInteger="1" minValue="2019" maxValue="2021"/>
    </cacheField>
    <cacheField name="enrollment_month" numFmtId="0">
      <sharedItems count="10">
        <s v="2026-01"/>
        <s v="2026-02"/>
        <s v="2026-03"/>
        <s v="2025-11"/>
        <s v="2026-06"/>
        <s v="2025-08"/>
        <s v="2025-07"/>
        <s v="2025-10"/>
        <s v="2026-05"/>
        <s v="2025-12"/>
      </sharedItems>
    </cacheField>
  </cacheFields>
  <extLst>
    <ext xmlns:x14="http://schemas.microsoft.com/office/spreadsheetml/2009/9/main" uri="{725AE2AE-9491-48be-B2B4-4EB974FC3084}">
      <x14:pivotCacheDefinition pivotCacheId="8915216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iE Odia" refreshedDate="46269.350712615742" createdVersion="8" refreshedVersion="8" minRefreshableVersion="3" recordCount="3" xr:uid="{EBD58EAE-1A6A-4546-9E5E-C7C429873A64}">
  <cacheSource type="worksheet">
    <worksheetSource name="tb2financials"/>
  </cacheSource>
  <cacheFields count="2">
    <cacheField name="Metric" numFmtId="0">
      <sharedItems count="3">
        <s v="Total Fees Due"/>
        <s v="Total Amount Paid"/>
        <s v="Outstanding Amount"/>
      </sharedItems>
    </cacheField>
    <cacheField name="Amount" numFmtId="0">
      <sharedItems containsSemiMixedTypes="0" containsString="0" containsNumber="1" minValue="2291197.7200000002" maxValue="12300000"/>
    </cacheField>
  </cacheFields>
  <extLst>
    <ext xmlns:x14="http://schemas.microsoft.com/office/spreadsheetml/2009/9/main" uri="{725AE2AE-9491-48be-B2B4-4EB974FC3084}">
      <x14:pivotCacheDefinition pivotCacheId="13066226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iE Odia" refreshedDate="46269.405214814811" createdVersion="8" refreshedVersion="8" minRefreshableVersion="3" recordCount="11" xr:uid="{78980B09-8A74-4981-9E6C-911ED4208813}">
  <cacheSource type="worksheet">
    <worksheetSource ref="A1:B12" sheet="Demographics"/>
  </cacheSource>
  <cacheFields count="2">
    <cacheField name="Metric" numFmtId="0">
      <sharedItems count="11">
        <s v="Unique Students"/>
        <s v="Male Students"/>
        <s v="Female Students"/>
        <s v="Students with BSc"/>
        <s v="Students with HND"/>
        <s v="Students with OND"/>
        <s v="Students with SSCE"/>
        <s v="Employed Full-time"/>
        <s v="Employed Part-time"/>
        <s v="Students"/>
        <s v="Unemployed"/>
      </sharedItems>
    </cacheField>
    <cacheField name="Value" numFmtId="0">
      <sharedItems containsSemiMixedTypes="0" containsString="0" containsNumber="1" containsInteger="1" minValue="3" maxValue="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ENR-001"/>
    <s v="STU-001"/>
    <s v="CRS-001"/>
    <s v="CEN-001"/>
    <d v="2026-01-10T00:00:00"/>
    <d v="2026-01-20T00:00:00"/>
    <d v="2026-07-14T00:00:00"/>
    <m/>
    <x v="0"/>
    <n v="175000"/>
    <s v="2_installments"/>
    <s v="John Doe"/>
    <s v="Chukwuemeka Ibrahim"/>
    <s v="chukwuemeka.i@email.com"/>
    <n v="8031234567"/>
    <d v="1995-03-15T00:00:00"/>
    <s v="Male"/>
    <s v="BSc"/>
    <s v="Employed Full-time"/>
    <s v="150k-250k"/>
    <s v="Referral"/>
    <d v="2026-01-10T00:00:00"/>
    <s v="WD-101"/>
    <x v="0"/>
    <s v="Web Development"/>
    <n v="24"/>
    <n v="350000"/>
    <s v="Comprehensive MERN stack program"/>
    <x v="0"/>
    <s v="Lagos"/>
    <s v="Lagos State"/>
    <s v="Mr. Adebayo Johnson"/>
    <n v="2019"/>
    <x v="0"/>
  </r>
  <r>
    <s v="ENR-002"/>
    <s v="STU-002"/>
    <s v="CRS-002"/>
    <s v="CEN-002"/>
    <d v="2026-01-15T00:00:00"/>
    <d v="2026-01-25T00:00:00"/>
    <d v="2026-06-12T00:00:00"/>
    <m/>
    <x v="0"/>
    <n v="80000"/>
    <s v="3_installments"/>
    <s v="Jane Smith"/>
    <s v="Amina Bello"/>
    <s v="amina.bello@email.com"/>
    <n v="7045678901"/>
    <d v="1998-07-22T00:00:00"/>
    <s v="Female"/>
    <s v="HND"/>
    <s v="Unemployed"/>
    <s v="Below 50k"/>
    <s v="Social Media"/>
    <d v="2026-01-15T00:00:00"/>
    <s v="DS-201"/>
    <x v="1"/>
    <s v="Data Science"/>
    <n v="20"/>
    <n v="400000"/>
    <s v="Python, SQL, ML fundamentals"/>
    <x v="1"/>
    <s v="Abuja"/>
    <s v="FCT"/>
    <s v="Mrs. Ngozi Okonkwo"/>
    <n v="2021"/>
    <x v="0"/>
  </r>
  <r>
    <s v="ENR-003"/>
    <s v="STU-003"/>
    <s v="CRS-001"/>
    <s v="CEN-001"/>
    <d v="2026-02-01T00:00:00"/>
    <d v="2026-02-10T00:00:00"/>
    <d v="2026-08-04T00:00:00"/>
    <m/>
    <x v="1"/>
    <n v="50000"/>
    <s v="3_installments"/>
    <s v="John Doe"/>
    <s v="Oluwaseun Adeyemi"/>
    <s v="oluwaseun.a@email.com"/>
    <n v="9087654321"/>
    <d v="1992-11-05T00:00:00"/>
    <s v="Male"/>
    <s v="SSCE"/>
    <s v="Employed Part-time"/>
    <s v="50k-100k"/>
    <s v="Walk-in"/>
    <d v="2026-02-01T00:00:00"/>
    <s v="WD-101"/>
    <x v="0"/>
    <s v="Web Development"/>
    <n v="24"/>
    <n v="350000"/>
    <s v="Comprehensive MERN stack program"/>
    <x v="0"/>
    <s v="Lagos"/>
    <s v="Lagos State"/>
    <s v="Mr. Adebayo Johnson"/>
    <n v="2019"/>
    <x v="1"/>
  </r>
  <r>
    <s v="ENR-004"/>
    <s v="STU-004"/>
    <s v="CRS-004"/>
    <s v="CEN-003"/>
    <d v="2026-02-10T00:00:00"/>
    <d v="2026-02-15T00:00:00"/>
    <d v="2026-05-10T00:00:00"/>
    <m/>
    <x v="0"/>
    <n v="125000"/>
    <s v="2_installments"/>
    <s v="Mary Johnson"/>
    <s v="Fatima Abdullahi"/>
    <s v="fatima.abd@email.com"/>
    <n v="8123456789"/>
    <d v="2000-01-18T00:00:00"/>
    <s v="Female"/>
    <s v="BSc"/>
    <s v="Student"/>
    <s v="Below 50k"/>
    <s v="Referral"/>
    <d v="2026-02-10T00:00:00"/>
    <s v="UX-401"/>
    <x v="2"/>
    <s v="Design"/>
    <n v="12"/>
    <n v="250000"/>
    <s v="Figma, prototyping, user research"/>
    <x v="2"/>
    <s v="Port Harcourt"/>
    <s v="Rivers State"/>
    <s v="Mr. Chinedu Okafor"/>
    <n v="2020"/>
    <x v="1"/>
  </r>
  <r>
    <s v="ENR-005"/>
    <s v="STU-005"/>
    <s v="CRS-003"/>
    <s v="CEN-002"/>
    <d v="2026-02-15T00:00:00"/>
    <d v="2026-02-20T00:00:00"/>
    <d v="2026-06-12T00:00:00"/>
    <m/>
    <x v="0"/>
    <n v="150000"/>
    <s v="2_installments"/>
    <s v="Jane Smith"/>
    <s v="Emeka Obi"/>
    <s v="emeka.obi@email.com"/>
    <n v="7099887766"/>
    <d v="1990-05-30T00:00:00"/>
    <s v="Male"/>
    <s v="OND"/>
    <s v="Employed Full-time"/>
    <s v="100k-150k"/>
    <s v="Social Media"/>
    <d v="2026-02-15T00:00:00"/>
    <s v="CS-301"/>
    <x v="3"/>
    <s v="Cybersecurity"/>
    <n v="16"/>
    <n v="300000"/>
    <s v="Network security and ethical hacking"/>
    <x v="1"/>
    <s v="Abuja"/>
    <s v="FCT"/>
    <s v="Mrs. Ngozi Okonkwo"/>
    <n v="2021"/>
    <x v="1"/>
  </r>
  <r>
    <s v="ENR-006"/>
    <s v="STU-014"/>
    <s v="CRS-001"/>
    <s v="CEN-001"/>
    <d v="2026-03-04T00:00:00"/>
    <d v="2026-03-10T00:00:00"/>
    <d v="2026-08-25T00:00:00"/>
    <d v="2026-08-01T00:00:00"/>
    <x v="2"/>
    <n v="156000"/>
    <s v="2_installments"/>
    <s v="John Doe"/>
    <s v="Bukola Suleiman"/>
    <s v="bukola.suleiman@email.com"/>
    <n v="8118227824"/>
    <d v="1999-11-01T00:00:00"/>
    <s v="Female"/>
    <s v="BSc"/>
    <s v="Employed Part-time"/>
    <s v="50k-100k"/>
    <s v="Website"/>
    <d v="2026-05-20T00:00:00"/>
    <s v="WD-101"/>
    <x v="0"/>
    <s v="Web Development"/>
    <n v="24"/>
    <n v="350000"/>
    <s v="Comprehensive MERN stack program"/>
    <x v="0"/>
    <s v="Lagos"/>
    <s v="Lagos State"/>
    <s v="Mr. Adebayo Johnson"/>
    <n v="2019"/>
    <x v="2"/>
  </r>
  <r>
    <s v="ENR-007"/>
    <s v="STU-023"/>
    <s v="CRS-001"/>
    <s v="CEN-001"/>
    <d v="2026-03-05T00:00:00"/>
    <d v="2026-03-17T00:00:00"/>
    <d v="2026-09-01T00:00:00"/>
    <m/>
    <x v="0"/>
    <n v="63000"/>
    <s v="monthly"/>
    <s v="Jane Smith"/>
    <s v="Zainab Chukwu"/>
    <s v="zainab.chukwu@email.com"/>
    <n v="7035427849"/>
    <d v="2002-09-01T00:00:00"/>
    <s v="Female"/>
    <s v="HND"/>
    <s v="Unemployed"/>
    <s v="Below 50k"/>
    <s v="Social Media"/>
    <d v="2025-07-24T00:00:00"/>
    <s v="WD-101"/>
    <x v="0"/>
    <s v="Web Development"/>
    <n v="24"/>
    <n v="350000"/>
    <s v="Comprehensive MERN stack program"/>
    <x v="0"/>
    <s v="Lagos"/>
    <s v="Lagos State"/>
    <s v="Mr. Adebayo Johnson"/>
    <n v="2019"/>
    <x v="2"/>
  </r>
  <r>
    <s v="ENR-008"/>
    <s v="STU-013"/>
    <s v="CRS-002"/>
    <s v="CEN-003"/>
    <d v="2026-03-27T00:00:00"/>
    <d v="2026-04-01T00:00:00"/>
    <d v="2026-08-19T00:00:00"/>
    <m/>
    <x v="0"/>
    <n v="106000"/>
    <s v="monthly"/>
    <s v="Mary Johnson"/>
    <s v="Kayode Adeyinka"/>
    <s v="kayode.adeyinka@email.com"/>
    <n v="9028809570"/>
    <d v="1990-07-05T00:00:00"/>
    <s v="Male"/>
    <s v="MSc"/>
    <s v="Student"/>
    <s v="50k-100k"/>
    <s v="Walk-in"/>
    <d v="2026-03-14T00:00:00"/>
    <s v="DS-201"/>
    <x v="1"/>
    <s v="Data Science"/>
    <n v="20"/>
    <n v="400000"/>
    <s v="Python, SQL, ML fundamentals"/>
    <x v="2"/>
    <s v="Port Harcourt"/>
    <s v="Rivers State"/>
    <s v="Mr. Chinedu Okafor"/>
    <n v="2020"/>
    <x v="2"/>
  </r>
  <r>
    <s v="ENR-009"/>
    <s v="STU-008"/>
    <s v="CRS-002"/>
    <s v="CEN-001"/>
    <d v="2025-11-28T00:00:00"/>
    <d v="2025-12-07T00:00:00"/>
    <d v="2026-04-26T00:00:00"/>
    <m/>
    <x v="0"/>
    <n v="228000"/>
    <s v="2_installments"/>
    <s v="Peter Adeleke"/>
    <s v="Femi Okafor"/>
    <s v="femi.okafor@email.com"/>
    <n v="8152553419"/>
    <d v="2002-03-29T00:00:00"/>
    <s v="Male"/>
    <s v="OND"/>
    <s v="Unemployed"/>
    <s v="Below 50k"/>
    <s v="Walk-in"/>
    <d v="2026-03-23T00:00:00"/>
    <s v="DS-201"/>
    <x v="1"/>
    <s v="Data Science"/>
    <n v="20"/>
    <n v="400000"/>
    <s v="Python, SQL, ML fundamentals"/>
    <x v="0"/>
    <s v="Lagos"/>
    <s v="Lagos State"/>
    <s v="Mr. Adebayo Johnson"/>
    <n v="2019"/>
    <x v="3"/>
  </r>
  <r>
    <s v="ENR-010"/>
    <s v="STU-003"/>
    <s v="CRS-004"/>
    <s v="CEN-001"/>
    <d v="2026-06-18T00:00:00"/>
    <d v="2026-07-01T00:00:00"/>
    <d v="2026-09-23T00:00:00"/>
    <d v="2026-08-01T00:00:00"/>
    <x v="1"/>
    <n v="74000"/>
    <s v="3_installments"/>
    <s v="Blessing Osei"/>
    <s v="Oluwaseun Adeyemi"/>
    <s v="oluwaseun.a@email.com"/>
    <n v="9087654321"/>
    <d v="1992-11-05T00:00:00"/>
    <s v="Male"/>
    <s v="SSCE"/>
    <s v="Employed Part-time"/>
    <s v="50k-100k"/>
    <s v="Walk-in"/>
    <d v="2026-02-01T00:00:00"/>
    <s v="UX-401"/>
    <x v="2"/>
    <s v="Design"/>
    <n v="12"/>
    <n v="250000"/>
    <s v="Figma, prototyping, user research"/>
    <x v="0"/>
    <s v="Lagos"/>
    <s v="Lagos State"/>
    <s v="Mr. Adebayo Johnson"/>
    <n v="2019"/>
    <x v="4"/>
  </r>
  <r>
    <s v="ENR-011"/>
    <s v="STU-002"/>
    <s v="CRS-002"/>
    <s v="CEN-001"/>
    <d v="2025-11-20T00:00:00"/>
    <d v="2025-12-05T00:00:00"/>
    <d v="2026-04-24T00:00:00"/>
    <m/>
    <x v="0"/>
    <n v="84000"/>
    <s v="monthly"/>
    <s v="John Doe"/>
    <s v="Amina Bello"/>
    <s v="amina.bello@email.com"/>
    <n v="7045678901"/>
    <d v="1998-07-22T00:00:00"/>
    <s v="Female"/>
    <s v="HND"/>
    <s v="Unemployed"/>
    <s v="Below 50k"/>
    <s v="Social Media"/>
    <d v="2026-01-15T00:00:00"/>
    <s v="DS-201"/>
    <x v="1"/>
    <s v="Data Science"/>
    <n v="20"/>
    <n v="400000"/>
    <s v="Python, SQL, ML fundamentals"/>
    <x v="0"/>
    <s v="Lagos"/>
    <s v="Lagos State"/>
    <s v="Mr. Adebayo Johnson"/>
    <n v="2019"/>
    <x v="3"/>
  </r>
  <r>
    <s v="ENR-012"/>
    <s v="STU-021"/>
    <s v="CRS-001"/>
    <s v="CEN-002"/>
    <d v="2025-08-05T00:00:00"/>
    <d v="2025-08-19T00:00:00"/>
    <d v="2026-02-03T00:00:00"/>
    <m/>
    <x v="0"/>
    <n v="203000"/>
    <s v="2_installments"/>
    <s v="Jane Smith"/>
    <s v="Musa Nwosu"/>
    <s v="musa.nwosu@email.com"/>
    <n v="7091361939"/>
    <d v="2001-05-02T00:00:00"/>
    <s v="Male"/>
    <s v="SSCE"/>
    <s v="Employed Full-time"/>
    <s v="Above 250k"/>
    <s v="Social Media"/>
    <d v="2026-02-03T00:00:00"/>
    <s v="WD-101"/>
    <x v="0"/>
    <s v="Web Development"/>
    <n v="24"/>
    <n v="350000"/>
    <s v="Comprehensive MERN stack program"/>
    <x v="1"/>
    <s v="Abuja"/>
    <s v="FCT"/>
    <s v="Mrs. Ngozi Okonkwo"/>
    <n v="2021"/>
    <x v="5"/>
  </r>
  <r>
    <s v="ENR-013"/>
    <s v="STU-019"/>
    <s v="CRS-002"/>
    <s v="CEN-002"/>
    <d v="2025-07-13T00:00:00"/>
    <d v="2025-07-28T00:00:00"/>
    <d v="2025-12-15T00:00:00"/>
    <m/>
    <x v="0"/>
    <n v="229000"/>
    <s v="2_installments"/>
    <s v="Mary Johnson"/>
    <s v="Uche Danjuma"/>
    <s v="uche.danjuma@email.com"/>
    <n v="8136026064"/>
    <d v="1998-03-16T00:00:00"/>
    <s v="Male"/>
    <s v="OND"/>
    <s v="Unemployed"/>
    <s v="Below 50k"/>
    <s v="Referral"/>
    <d v="2026-05-05T00:00:00"/>
    <s v="DS-201"/>
    <x v="1"/>
    <s v="Data Science"/>
    <n v="20"/>
    <n v="400000"/>
    <s v="Python, SQL, ML fundamentals"/>
    <x v="1"/>
    <s v="Abuja"/>
    <s v="FCT"/>
    <s v="Mrs. Ngozi Okonkwo"/>
    <n v="2021"/>
    <x v="6"/>
  </r>
  <r>
    <s v="ENR-014"/>
    <s v="STU-009"/>
    <s v="CRS-001"/>
    <s v="CEN-001"/>
    <d v="2025-11-15T00:00:00"/>
    <d v="2025-11-23T00:00:00"/>
    <d v="2026-05-10T00:00:00"/>
    <d v="2026-05-13T00:00:00"/>
    <x v="2"/>
    <n v="164000"/>
    <s v="2_installments"/>
    <s v="Peter Adeleke"/>
    <s v="Bimpe Yusuf"/>
    <s v="bimpe.yusuf@email.com"/>
    <n v="9003056413"/>
    <d v="2000-09-20T00:00:00"/>
    <s v="Female"/>
    <s v="BSc"/>
    <s v="Employed Part-time"/>
    <s v="100k-150k"/>
    <s v="Walk-in"/>
    <d v="2026-01-21T00:00:00"/>
    <s v="WD-101"/>
    <x v="0"/>
    <s v="Web Development"/>
    <n v="24"/>
    <n v="350000"/>
    <s v="Comprehensive MERN stack program"/>
    <x v="0"/>
    <s v="Lagos"/>
    <s v="Lagos State"/>
    <s v="Mr. Adebayo Johnson"/>
    <n v="2019"/>
    <x v="3"/>
  </r>
  <r>
    <s v="ENR-015"/>
    <s v="STU-029"/>
    <s v="CRS-001"/>
    <s v="CEN-003"/>
    <d v="2026-01-02T00:00:00"/>
    <d v="2026-01-11T00:00:00"/>
    <d v="2026-06-28T00:00:00"/>
    <m/>
    <x v="0"/>
    <n v="173000"/>
    <s v="2_installments"/>
    <s v="Blessing Osei"/>
    <s v="Femi Muhammed"/>
    <s v="femi.muhammed@email.com"/>
    <n v="9014586850"/>
    <d v="1990-08-02T00:00:00"/>
    <s v="Male"/>
    <s v="BSc"/>
    <s v="Employed Full-time"/>
    <s v="Above 250k"/>
    <s v="Website"/>
    <d v="2026-01-14T00:00:00"/>
    <s v="WD-101"/>
    <x v="0"/>
    <s v="Web Development"/>
    <n v="24"/>
    <n v="350000"/>
    <s v="Comprehensive MERN stack program"/>
    <x v="2"/>
    <s v="Port Harcourt"/>
    <s v="Rivers State"/>
    <s v="Mr. Chinedu Okafor"/>
    <n v="2020"/>
    <x v="0"/>
  </r>
  <r>
    <s v="ENR-016"/>
    <s v="STU-024"/>
    <s v="CRS-003"/>
    <s v="CEN-001"/>
    <d v="2025-11-27T00:00:00"/>
    <d v="2025-12-05T00:00:00"/>
    <d v="2026-03-27T00:00:00"/>
    <d v="2026-04-03T00:00:00"/>
    <x v="2"/>
    <n v="107000"/>
    <s v="3_installments"/>
    <s v="John Doe"/>
    <s v="Ifeanyi Okafor"/>
    <s v="ifeanyi.okafor@email.com"/>
    <n v="7018244935"/>
    <d v="1992-07-25T00:00:00"/>
    <s v="Male"/>
    <s v="BSc"/>
    <s v="Student"/>
    <s v="50k-100k"/>
    <s v="Walk-in"/>
    <d v="2025-06-27T00:00:00"/>
    <s v="CS-301"/>
    <x v="3"/>
    <s v="Cybersecurity"/>
    <n v="16"/>
    <n v="300000"/>
    <s v="Network security and ethical hacking"/>
    <x v="0"/>
    <s v="Lagos"/>
    <s v="Lagos State"/>
    <s v="Mr. Adebayo Johnson"/>
    <n v="2019"/>
    <x v="3"/>
  </r>
  <r>
    <s v="ENR-017"/>
    <s v="STU-005"/>
    <s v="CRS-001"/>
    <s v="CEN-001"/>
    <d v="2025-10-05T00:00:00"/>
    <d v="2025-10-13T00:00:00"/>
    <d v="2026-03-30T00:00:00"/>
    <d v="2025-11-11T00:00:00"/>
    <x v="1"/>
    <n v="350000"/>
    <s v="full_payment"/>
    <s v="Jane Smith"/>
    <s v="Emeka Obi"/>
    <s v="emeka.obi@email.com"/>
    <n v="7099887766"/>
    <d v="1990-05-30T00:00:00"/>
    <s v="Male"/>
    <s v="OND"/>
    <s v="Employed Full-time"/>
    <s v="100k-150k"/>
    <s v="Social Media"/>
    <d v="2026-02-15T00:00:00"/>
    <s v="WD-101"/>
    <x v="0"/>
    <s v="Web Development"/>
    <n v="24"/>
    <n v="350000"/>
    <s v="Comprehensive MERN stack program"/>
    <x v="0"/>
    <s v="Lagos"/>
    <s v="Lagos State"/>
    <s v="Mr. Adebayo Johnson"/>
    <n v="2019"/>
    <x v="7"/>
  </r>
  <r>
    <s v="ENR-018"/>
    <s v="STU-021"/>
    <s v="CRS-001"/>
    <s v="CEN-002"/>
    <d v="2026-03-16T00:00:00"/>
    <d v="2026-03-24T00:00:00"/>
    <d v="2026-09-08T00:00:00"/>
    <d v="2026-08-02T00:00:00"/>
    <x v="2"/>
    <n v="88000"/>
    <s v="3_installments"/>
    <s v="Mary Johnson"/>
    <s v="Musa Nwosu"/>
    <s v="musa.nwosu@email.com"/>
    <n v="7091361939"/>
    <d v="2001-05-02T00:00:00"/>
    <s v="Male"/>
    <s v="SSCE"/>
    <s v="Employed Full-time"/>
    <s v="Above 250k"/>
    <s v="Social Media"/>
    <d v="2026-02-03T00:00:00"/>
    <s v="WD-101"/>
    <x v="0"/>
    <s v="Web Development"/>
    <n v="24"/>
    <n v="350000"/>
    <s v="Comprehensive MERN stack program"/>
    <x v="1"/>
    <s v="Abuja"/>
    <s v="FCT"/>
    <s v="Mrs. Ngozi Okonkwo"/>
    <n v="2021"/>
    <x v="2"/>
  </r>
  <r>
    <s v="ENR-019"/>
    <s v="STU-030"/>
    <s v="CRS-002"/>
    <s v="CEN-003"/>
    <d v="2026-06-03T00:00:00"/>
    <d v="2026-06-09T00:00:00"/>
    <d v="2026-10-27T00:00:00"/>
    <m/>
    <x v="0"/>
    <n v="400000"/>
    <s v="full_payment"/>
    <s v="Peter Adeleke"/>
    <s v="Fatimah Ogundipe"/>
    <s v="fatimah.ogundipe@email.com"/>
    <n v="9056981693"/>
    <d v="1993-09-17T00:00:00"/>
    <s v="Female"/>
    <s v="SSCE"/>
    <s v="Employed Part-time"/>
    <s v="50k-100k"/>
    <s v="Walk-in"/>
    <d v="2026-03-27T00:00:00"/>
    <s v="DS-201"/>
    <x v="1"/>
    <s v="Data Science"/>
    <n v="20"/>
    <n v="400000"/>
    <s v="Python, SQL, ML fundamentals"/>
    <x v="2"/>
    <s v="Port Harcourt"/>
    <s v="Rivers State"/>
    <s v="Mr. Chinedu Okafor"/>
    <n v="2020"/>
    <x v="4"/>
  </r>
  <r>
    <s v="ENR-020"/>
    <s v="STU-003"/>
    <s v="CRS-001"/>
    <s v="CEN-001"/>
    <d v="2026-03-24T00:00:00"/>
    <d v="2026-03-29T00:00:00"/>
    <d v="2026-09-13T00:00:00"/>
    <d v="2026-05-06T00:00:00"/>
    <x v="1"/>
    <n v="204000"/>
    <s v="2_installments"/>
    <s v="Blessing Osei"/>
    <s v="Oluwaseun Adeyemi"/>
    <s v="oluwaseun.a@email.com"/>
    <n v="9087654321"/>
    <d v="1992-11-05T00:00:00"/>
    <s v="Male"/>
    <s v="SSCE"/>
    <s v="Employed Part-time"/>
    <s v="50k-100k"/>
    <s v="Walk-in"/>
    <d v="2026-02-01T00:00:00"/>
    <s v="WD-101"/>
    <x v="0"/>
    <s v="Web Development"/>
    <n v="24"/>
    <n v="350000"/>
    <s v="Comprehensive MERN stack program"/>
    <x v="0"/>
    <s v="Lagos"/>
    <s v="Lagos State"/>
    <s v="Mr. Adebayo Johnson"/>
    <n v="2019"/>
    <x v="2"/>
  </r>
  <r>
    <s v="ENR-021"/>
    <s v="STU-022"/>
    <s v="CRS-002"/>
    <s v="CEN-002"/>
    <d v="2025-07-09T00:00:00"/>
    <d v="2025-07-23T00:00:00"/>
    <d v="2025-12-10T00:00:00"/>
    <m/>
    <x v="0"/>
    <n v="210000"/>
    <s v="2_installments"/>
    <s v="John Doe"/>
    <s v="Kayode Abdullahi"/>
    <s v="kayode.abdullahi@email.com"/>
    <n v="9034624751"/>
    <d v="1988-03-17T00:00:00"/>
    <s v="Male"/>
    <s v="HND"/>
    <s v="Student"/>
    <s v="Below 50k"/>
    <s v="Walk-in"/>
    <d v="2026-02-03T00:00:00"/>
    <s v="DS-201"/>
    <x v="1"/>
    <s v="Data Science"/>
    <n v="20"/>
    <n v="400000"/>
    <s v="Python, SQL, ML fundamentals"/>
    <x v="1"/>
    <s v="Abuja"/>
    <s v="FCT"/>
    <s v="Mrs. Ngozi Okonkwo"/>
    <n v="2021"/>
    <x v="6"/>
  </r>
  <r>
    <s v="ENR-022"/>
    <s v="STU-006"/>
    <s v="CRS-001"/>
    <s v="CEN-003"/>
    <d v="2026-05-17T00:00:00"/>
    <d v="2026-05-31T00:00:00"/>
    <d v="2026-11-15T00:00:00"/>
    <d v="2026-08-04T00:00:00"/>
    <x v="2"/>
    <n v="196000"/>
    <s v="2_installments"/>
    <s v="Jane Smith"/>
    <s v="Chinyere Okafor"/>
    <s v="chinyere.okafor@email.com"/>
    <n v="7026542351"/>
    <d v="1990-01-29T00:00:00"/>
    <s v="Female"/>
    <s v="HND"/>
    <s v="Employed Part-time"/>
    <s v="100k-150k"/>
    <s v="Social Media"/>
    <d v="2026-06-09T00:00:00"/>
    <s v="WD-101"/>
    <x v="0"/>
    <s v="Web Development"/>
    <n v="24"/>
    <n v="350000"/>
    <s v="Comprehensive MERN stack program"/>
    <x v="2"/>
    <s v="Port Harcourt"/>
    <s v="Rivers State"/>
    <s v="Mr. Chinedu Okafor"/>
    <n v="2020"/>
    <x v="8"/>
  </r>
  <r>
    <s v="ENR-023"/>
    <s v="STU-023"/>
    <s v="CRS-001"/>
    <s v="CEN-001"/>
    <d v="2025-12-07T00:00:00"/>
    <d v="2025-12-13T00:00:00"/>
    <d v="2026-05-30T00:00:00"/>
    <d v="2026-06-02T00:00:00"/>
    <x v="2"/>
    <n v="164000"/>
    <s v="2_installments"/>
    <s v="Mary Johnson"/>
    <s v="Zainab Chukwu"/>
    <s v="zainab.chukwu@email.com"/>
    <n v="7035427849"/>
    <d v="2002-09-01T00:00:00"/>
    <s v="Female"/>
    <s v="HND"/>
    <s v="Unemployed"/>
    <s v="Below 50k"/>
    <s v="Social Media"/>
    <d v="2025-07-24T00:00:00"/>
    <s v="WD-101"/>
    <x v="0"/>
    <s v="Web Development"/>
    <n v="24"/>
    <n v="350000"/>
    <s v="Comprehensive MERN stack program"/>
    <x v="0"/>
    <s v="Lagos"/>
    <s v="Lagos State"/>
    <s v="Mr. Adebayo Johnson"/>
    <n v="2019"/>
    <x v="9"/>
  </r>
  <r>
    <s v="ENR-024"/>
    <s v="STU-017"/>
    <s v="CRS-003"/>
    <s v="CEN-001"/>
    <d v="2025-12-03T00:00:00"/>
    <d v="2025-12-18T00:00:00"/>
    <d v="2026-04-09T00:00:00"/>
    <d v="2026-01-12T00:00:00"/>
    <x v="1"/>
    <n v="69000"/>
    <s v="3_installments"/>
    <s v="Peter Adeleke"/>
    <s v="Hauwa Bello"/>
    <s v="hauwa.bello@email.com"/>
    <n v="7016566701"/>
    <d v="1989-05-11T00:00:00"/>
    <s v="Female"/>
    <s v="HND"/>
    <s v="Employed Part-time"/>
    <s v="50k-100k"/>
    <s v="Walk-in"/>
    <d v="2026-02-27T00:00:00"/>
    <s v="CS-301"/>
    <x v="3"/>
    <s v="Cybersecurity"/>
    <n v="16"/>
    <n v="300000"/>
    <s v="Network security and ethical hacking"/>
    <x v="0"/>
    <s v="Lagos"/>
    <s v="Lagos State"/>
    <s v="Mr. Adebayo Johnson"/>
    <n v="2019"/>
    <x v="9"/>
  </r>
  <r>
    <s v="ENR-025"/>
    <s v="STU-014"/>
    <s v="CRS-003"/>
    <s v="CEN-003"/>
    <d v="2025-10-17T00:00:00"/>
    <d v="2025-10-31T00:00:00"/>
    <d v="2026-02-20T00:00:00"/>
    <d v="2026-02-24T00:00:00"/>
    <x v="2"/>
    <n v="92000"/>
    <s v="3_installments"/>
    <s v="Blessing Osei"/>
    <s v="Bukola Suleiman"/>
    <s v="bukola.suleiman@email.com"/>
    <n v="8118227824"/>
    <d v="1999-11-01T00:00:00"/>
    <s v="Female"/>
    <s v="BSc"/>
    <s v="Employed Part-time"/>
    <s v="50k-100k"/>
    <s v="Website"/>
    <d v="2026-05-20T00:00:00"/>
    <s v="CS-301"/>
    <x v="3"/>
    <s v="Cybersecurity"/>
    <n v="16"/>
    <n v="300000"/>
    <s v="Network security and ethical hacking"/>
    <x v="2"/>
    <s v="Port Harcourt"/>
    <s v="Rivers State"/>
    <s v="Mr. Chinedu Okafor"/>
    <n v="2020"/>
    <x v="7"/>
  </r>
  <r>
    <s v="ENR-026"/>
    <s v="STU-024"/>
    <s v="CRS-002"/>
    <s v="CEN-003"/>
    <d v="2026-03-31T00:00:00"/>
    <d v="2026-04-09T00:00:00"/>
    <d v="2026-08-27T00:00:00"/>
    <d v="2026-04-28T00:00:00"/>
    <x v="1"/>
    <n v="25000"/>
    <s v="2_installments"/>
    <s v="John Doe"/>
    <s v="Ifeanyi Okafor"/>
    <s v="ifeanyi.okafor@email.com"/>
    <n v="7018244935"/>
    <d v="1992-07-25T00:00:00"/>
    <s v="Male"/>
    <s v="BSc"/>
    <s v="Student"/>
    <s v="50k-100k"/>
    <s v="Walk-in"/>
    <d v="2025-06-27T00:00:00"/>
    <s v="DS-201"/>
    <x v="1"/>
    <s v="Data Science"/>
    <n v="20"/>
    <n v="400000"/>
    <s v="Python, SQL, ML fundamentals"/>
    <x v="2"/>
    <s v="Port Harcourt"/>
    <s v="Rivers State"/>
    <s v="Mr. Chinedu Okafor"/>
    <n v="2020"/>
    <x v="2"/>
  </r>
  <r>
    <s v="ENR-027"/>
    <s v="STU-018"/>
    <s v="CRS-001"/>
    <s v="CEN-002"/>
    <d v="2026-06-20T00:00:00"/>
    <d v="2026-07-02T00:00:00"/>
    <d v="2026-12-17T00:00:00"/>
    <d v="2026-08-04T00:00:00"/>
    <x v="2"/>
    <n v="117000"/>
    <s v="3_installments"/>
    <s v="Jane Smith"/>
    <s v="Ifeanyi Ogundipe"/>
    <s v="ifeanyi.ogundipe@email.com"/>
    <n v="8047317810"/>
    <d v="2002-08-17T00:00:00"/>
    <s v="Male"/>
    <s v="MSc"/>
    <s v="Student"/>
    <s v="Below 50k"/>
    <s v="Website"/>
    <d v="2025-08-25T00:00:00"/>
    <s v="WD-101"/>
    <x v="0"/>
    <s v="Web Development"/>
    <n v="24"/>
    <n v="350000"/>
    <s v="Comprehensive MERN stack program"/>
    <x v="1"/>
    <s v="Abuja"/>
    <s v="FCT"/>
    <s v="Mrs. Ngozi Okonkwo"/>
    <n v="2021"/>
    <x v="4"/>
  </r>
  <r>
    <s v="ENR-028"/>
    <s v="STU-029"/>
    <s v="CRS-002"/>
    <s v="CEN-001"/>
    <d v="2026-02-05T00:00:00"/>
    <d v="2026-02-13T00:00:00"/>
    <d v="2026-07-03T00:00:00"/>
    <m/>
    <x v="0"/>
    <n v="76000"/>
    <s v="monthly"/>
    <s v="Mary Johnson"/>
    <s v="Femi Muhammed"/>
    <s v="femi.muhammed@email.com"/>
    <n v="9014586850"/>
    <d v="1990-08-02T00:00:00"/>
    <s v="Male"/>
    <s v="BSc"/>
    <s v="Employed Full-time"/>
    <s v="Above 250k"/>
    <s v="Website"/>
    <d v="2026-01-14T00:00:00"/>
    <s v="DS-201"/>
    <x v="1"/>
    <s v="Data Science"/>
    <n v="20"/>
    <n v="400000"/>
    <s v="Python, SQL, ML fundamentals"/>
    <x v="0"/>
    <s v="Lagos"/>
    <s v="Lagos State"/>
    <s v="Mr. Adebayo Johnson"/>
    <n v="2019"/>
    <x v="1"/>
  </r>
  <r>
    <s v="ENR-029"/>
    <s v="STU-011"/>
    <s v="CRS-001"/>
    <s v="CEN-002"/>
    <d v="2025-10-20T00:00:00"/>
    <d v="2025-11-02T00:00:00"/>
    <d v="2026-04-19T00:00:00"/>
    <d v="2025-11-21T00:00:00"/>
    <x v="1"/>
    <n v="34000"/>
    <s v="monthly"/>
    <s v="Peter Adeleke"/>
    <s v="Ifeanyi Umeh"/>
    <s v="ifeanyi.umeh@email.com"/>
    <n v="8069166978"/>
    <d v="1993-08-21T00:00:00"/>
    <s v="Male"/>
    <s v="MSc"/>
    <s v="Student"/>
    <s v="Below 50k"/>
    <s v="Social Media"/>
    <d v="2026-03-10T00:00:00"/>
    <s v="WD-101"/>
    <x v="0"/>
    <s v="Web Development"/>
    <n v="24"/>
    <n v="350000"/>
    <s v="Comprehensive MERN stack program"/>
    <x v="1"/>
    <s v="Abuja"/>
    <s v="FCT"/>
    <s v="Mrs. Ngozi Okonkwo"/>
    <n v="2021"/>
    <x v="7"/>
  </r>
  <r>
    <s v="ENR-030"/>
    <s v="STU-020"/>
    <s v="CRS-001"/>
    <s v="CEN-001"/>
    <d v="2026-03-12T00:00:00"/>
    <d v="2026-03-20T00:00:00"/>
    <d v="2026-09-04T00:00:00"/>
    <m/>
    <x v="0"/>
    <n v="115000"/>
    <s v="3_installments"/>
    <s v="Blessing Osei"/>
    <s v="Nkechi Adeyinka"/>
    <s v="nkechi.adeyinka@email.com"/>
    <n v="8043098050"/>
    <d v="1989-02-14T00:00:00"/>
    <s v="Female"/>
    <s v="BSc"/>
    <s v="Unemployed"/>
    <s v="Below 50k"/>
    <s v="Referral"/>
    <d v="2026-03-07T00:00:00"/>
    <s v="WD-101"/>
    <x v="0"/>
    <s v="Web Development"/>
    <n v="24"/>
    <n v="350000"/>
    <s v="Comprehensive MERN stack program"/>
    <x v="0"/>
    <s v="Lagos"/>
    <s v="Lagos State"/>
    <s v="Mr. Adebayo Johnson"/>
    <n v="2019"/>
    <x v="2"/>
  </r>
  <r>
    <s v="ENR-031"/>
    <s v="STU-018"/>
    <s v="CRS-002"/>
    <s v="CEN-003"/>
    <d v="2025-07-18T00:00:00"/>
    <d v="2025-07-27T00:00:00"/>
    <d v="2025-12-14T00:00:00"/>
    <d v="2025-08-29T00:00:00"/>
    <x v="1"/>
    <n v="34000"/>
    <s v="2_installments"/>
    <s v="John Doe"/>
    <s v="Ifeanyi Ogundipe"/>
    <s v="ifeanyi.ogundipe@email.com"/>
    <n v="8047317810"/>
    <d v="2002-08-17T00:00:00"/>
    <s v="Male"/>
    <s v="MSc"/>
    <s v="Student"/>
    <s v="Below 50k"/>
    <s v="Website"/>
    <d v="2025-08-25T00:00:00"/>
    <s v="DS-201"/>
    <x v="1"/>
    <s v="Data Science"/>
    <n v="20"/>
    <n v="400000"/>
    <s v="Python, SQL, ML fundamentals"/>
    <x v="2"/>
    <s v="Port Harcourt"/>
    <s v="Rivers State"/>
    <s v="Mr. Chinedu Okafor"/>
    <n v="2020"/>
    <x v="6"/>
  </r>
  <r>
    <s v="ENR-032"/>
    <s v="STU-017"/>
    <s v="CRS-003"/>
    <s v="CEN-001"/>
    <d v="2026-03-11T00:00:00"/>
    <d v="2026-03-24T00:00:00"/>
    <d v="2026-07-14T00:00:00"/>
    <d v="2026-05-12T00:00:00"/>
    <x v="1"/>
    <n v="30000"/>
    <s v="3_installments"/>
    <s v="Jane Smith"/>
    <s v="Hauwa Bello"/>
    <s v="hauwa.bello@email.com"/>
    <n v="7016566701"/>
    <d v="1989-05-11T00:00:00"/>
    <s v="Female"/>
    <s v="HND"/>
    <s v="Employed Part-time"/>
    <s v="50k-100k"/>
    <s v="Walk-in"/>
    <d v="2026-02-27T00:00:00"/>
    <s v="CS-301"/>
    <x v="3"/>
    <s v="Cybersecurity"/>
    <n v="16"/>
    <n v="300000"/>
    <s v="Network security and ethical hacking"/>
    <x v="0"/>
    <s v="Lagos"/>
    <s v="Lagos State"/>
    <s v="Mr. Adebayo Johnson"/>
    <n v="2019"/>
    <x v="2"/>
  </r>
  <r>
    <s v="ENR-033"/>
    <s v="STU-022"/>
    <s v="CRS-001"/>
    <s v="CEN-002"/>
    <d v="2025-10-17T00:00:00"/>
    <d v="2025-10-26T00:00:00"/>
    <d v="2026-04-12T00:00:00"/>
    <d v="2026-04-12T00:00:00"/>
    <x v="2"/>
    <n v="78000"/>
    <s v="3_installments"/>
    <s v="Mary Johnson"/>
    <s v="Kayode Abdullahi"/>
    <s v="kayode.abdullahi@email.com"/>
    <n v="9034624751"/>
    <d v="1988-03-17T00:00:00"/>
    <s v="Male"/>
    <s v="HND"/>
    <s v="Student"/>
    <s v="Below 50k"/>
    <s v="Walk-in"/>
    <d v="2026-02-03T00:00:00"/>
    <s v="WD-101"/>
    <x v="0"/>
    <s v="Web Development"/>
    <n v="24"/>
    <n v="350000"/>
    <s v="Comprehensive MERN stack program"/>
    <x v="1"/>
    <s v="Abuja"/>
    <s v="FCT"/>
    <s v="Mrs. Ngozi Okonkwo"/>
    <n v="2021"/>
    <x v="7"/>
  </r>
  <r>
    <s v="ENR-034"/>
    <s v="STU-009"/>
    <s v="CRS-001"/>
    <s v="CEN-002"/>
    <d v="2026-06-26T00:00:00"/>
    <d v="2026-07-03T00:00:00"/>
    <d v="2026-12-18T00:00:00"/>
    <m/>
    <x v="0"/>
    <n v="122000"/>
    <s v="3_installments"/>
    <s v="Peter Adeleke"/>
    <s v="Bimpe Yusuf"/>
    <s v="bimpe.yusuf@email.com"/>
    <n v="9003056413"/>
    <d v="2000-09-20T00:00:00"/>
    <s v="Female"/>
    <s v="BSc"/>
    <s v="Employed Part-time"/>
    <s v="100k-150k"/>
    <s v="Walk-in"/>
    <d v="2026-01-21T00:00:00"/>
    <s v="WD-101"/>
    <x v="0"/>
    <s v="Web Development"/>
    <n v="24"/>
    <n v="350000"/>
    <s v="Comprehensive MERN stack program"/>
    <x v="1"/>
    <s v="Abuja"/>
    <s v="FCT"/>
    <s v="Mrs. Ngozi Okonkwo"/>
    <n v="2021"/>
    <x v="4"/>
  </r>
  <r>
    <s v="ENR-035"/>
    <s v="STU-027"/>
    <s v="CRS-001"/>
    <s v="CEN-002"/>
    <d v="2026-06-25T00:00:00"/>
    <d v="2026-07-08T00:00:00"/>
    <d v="2026-12-23T00:00:00"/>
    <d v="2026-08-02T00:00:00"/>
    <x v="3"/>
    <n v="104000"/>
    <s v="monthly"/>
    <s v="Blessing Osei"/>
    <s v="Wale Yusuf"/>
    <s v="wale.yusuf@email.com"/>
    <n v="7058692322"/>
    <d v="1997-03-31T00:00:00"/>
    <s v="Male"/>
    <s v="SSCE"/>
    <s v="Unemployed"/>
    <s v="Below 50k"/>
    <s v="Walk-in"/>
    <d v="2026-05-09T00:00:00"/>
    <s v="WD-101"/>
    <x v="0"/>
    <s v="Web Development"/>
    <n v="24"/>
    <n v="350000"/>
    <s v="Comprehensive MERN stack program"/>
    <x v="1"/>
    <s v="Abuja"/>
    <s v="FCT"/>
    <s v="Mrs. Ngozi Okonkwo"/>
    <n v="2021"/>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2300000"/>
  </r>
  <r>
    <x v="1"/>
    <n v="10008802.279999999"/>
  </r>
  <r>
    <x v="2"/>
    <n v="2291197.72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22"/>
  </r>
  <r>
    <x v="1"/>
    <n v="13"/>
  </r>
  <r>
    <x v="2"/>
    <n v="9"/>
  </r>
  <r>
    <x v="3"/>
    <n v="7"/>
  </r>
  <r>
    <x v="4"/>
    <n v="5"/>
  </r>
  <r>
    <x v="5"/>
    <n v="3"/>
  </r>
  <r>
    <x v="6"/>
    <n v="4"/>
  </r>
  <r>
    <x v="7"/>
    <n v="4"/>
  </r>
  <r>
    <x v="8"/>
    <n v="6"/>
  </r>
  <r>
    <x v="9"/>
    <n v="6"/>
  </r>
  <r>
    <x v="10"/>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05D01-CD65-4C50-8845-BE1A7670B96D}"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2:T14" firstHeaderRow="1" firstDataRow="1" firstDataCol="1"/>
  <pivotFields count="2">
    <pivotField axis="axisRow" showAll="0">
      <items count="12">
        <item x="7"/>
        <item x="8"/>
        <item x="2"/>
        <item x="1"/>
        <item x="9"/>
        <item x="3"/>
        <item x="4"/>
        <item x="5"/>
        <item x="6"/>
        <item x="10"/>
        <item x="0"/>
        <item t="default"/>
      </items>
    </pivotField>
    <pivotField dataField="1" showAll="0"/>
  </pivotFields>
  <rowFields count="1">
    <field x="0"/>
  </rowFields>
  <rowItems count="12">
    <i>
      <x/>
    </i>
    <i>
      <x v="1"/>
    </i>
    <i>
      <x v="2"/>
    </i>
    <i>
      <x v="3"/>
    </i>
    <i>
      <x v="4"/>
    </i>
    <i>
      <x v="5"/>
    </i>
    <i>
      <x v="6"/>
    </i>
    <i>
      <x v="7"/>
    </i>
    <i>
      <x v="8"/>
    </i>
    <i>
      <x v="9"/>
    </i>
    <i>
      <x v="10"/>
    </i>
    <i t="grand">
      <x/>
    </i>
  </rowItems>
  <colItems count="1">
    <i/>
  </colItems>
  <dataFields count="1">
    <dataField name="Sum of Val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904FD-A543-4477-A737-84E4A619E218}" name="PTfinancial"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O6" firstHeaderRow="1" firstDataRow="1" firstDataCol="1"/>
  <pivotFields count="2">
    <pivotField axis="axisRow" showAll="0">
      <items count="4">
        <item x="2"/>
        <item x="1"/>
        <item x="0"/>
        <item t="default"/>
      </items>
    </pivotField>
    <pivotField dataField="1" showAll="0"/>
  </pivotFields>
  <rowFields count="1">
    <field x="0"/>
  </rowFields>
  <rowItems count="4">
    <i>
      <x/>
    </i>
    <i>
      <x v="1"/>
    </i>
    <i>
      <x v="2"/>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8CC86-8789-43BB-BDD9-1B9B2420A8B1}" name="PTstatu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L7" firstHeaderRow="1" firstDataRow="1" firstDataCol="1"/>
  <pivotFields count="34">
    <pivotField dataField="1" showAll="0"/>
    <pivotField showAll="0"/>
    <pivotField showAll="0"/>
    <pivotField showAll="0"/>
    <pivotField numFmtId="164" showAll="0"/>
    <pivotField numFmtId="164" showAll="0"/>
    <pivotField numFmtId="164" showAll="0"/>
    <pivotField showAll="0"/>
    <pivotField axis="axisRow" showAll="0">
      <items count="5">
        <item x="0"/>
        <item x="2"/>
        <item x="1"/>
        <item x="3"/>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pivotFields>
  <rowFields count="1">
    <field x="8"/>
  </rowFields>
  <rowItems count="5">
    <i>
      <x/>
    </i>
    <i>
      <x v="1"/>
    </i>
    <i>
      <x v="2"/>
    </i>
    <i>
      <x v="3"/>
    </i>
    <i t="grand">
      <x/>
    </i>
  </rowItems>
  <colItems count="1">
    <i/>
  </colItems>
  <dataFields count="1">
    <dataField name="Count of enroll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99248-64C9-437D-993B-B1AD229F7C0A}" name="PTcoursename"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I7" firstHeaderRow="1" firstDataRow="1" firstDataCol="1"/>
  <pivotFields count="34">
    <pivotField dataField="1" showAll="0"/>
    <pivotField showAll="0"/>
    <pivotField showAll="0"/>
    <pivotField showAll="0"/>
    <pivotField numFmtId="164" showAll="0"/>
    <pivotField numFmtId="164" showAll="0"/>
    <pivotField numFmtId="164" showAll="0"/>
    <pivotField showAll="0"/>
    <pivotField showAll="0">
      <items count="5">
        <item x="0"/>
        <item x="2"/>
        <item x="1"/>
        <item x="3"/>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axis="axisRow" showAll="0" sortType="ascending">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pivotFields>
  <rowFields count="1">
    <field x="23"/>
  </rowFields>
  <rowItems count="5">
    <i>
      <x/>
    </i>
    <i>
      <x v="1"/>
    </i>
    <i>
      <x v="2"/>
    </i>
    <i>
      <x v="3"/>
    </i>
    <i t="grand">
      <x/>
    </i>
  </rowItems>
  <colItems count="1">
    <i/>
  </colItems>
  <dataFields count="1">
    <dataField name="Count of enrollment_id" fld="0"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1E027A-AAE3-4605-8368-8D19BE4963AF}" name="PTmonth"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E13" firstHeaderRow="1" firstDataRow="1" firstDataCol="1"/>
  <pivotFields count="34">
    <pivotField dataField="1" showAll="0"/>
    <pivotField showAll="0"/>
    <pivotField showAll="0"/>
    <pivotField showAll="0"/>
    <pivotField numFmtId="164" showAll="0"/>
    <pivotField numFmtId="164" showAll="0"/>
    <pivotField numFmtId="164" showAll="0"/>
    <pivotField showAll="0"/>
    <pivotField showAll="0">
      <items count="5">
        <item x="0"/>
        <item x="2"/>
        <item x="1"/>
        <item x="3"/>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axis="axisRow" showAll="0">
      <items count="11">
        <item x="6"/>
        <item x="5"/>
        <item x="7"/>
        <item x="3"/>
        <item x="9"/>
        <item x="0"/>
        <item x="1"/>
        <item x="2"/>
        <item x="8"/>
        <item x="4"/>
        <item t="default"/>
      </items>
    </pivotField>
  </pivotFields>
  <rowFields count="1">
    <field x="33"/>
  </rowFields>
  <rowItems count="11">
    <i>
      <x/>
    </i>
    <i>
      <x v="1"/>
    </i>
    <i>
      <x v="2"/>
    </i>
    <i>
      <x v="3"/>
    </i>
    <i>
      <x v="4"/>
    </i>
    <i>
      <x v="5"/>
    </i>
    <i>
      <x v="6"/>
    </i>
    <i>
      <x v="7"/>
    </i>
    <i>
      <x v="8"/>
    </i>
    <i>
      <x v="9"/>
    </i>
    <i t="grand">
      <x/>
    </i>
  </rowItems>
  <colItems count="1">
    <i/>
  </colItems>
  <dataFields count="1">
    <dataField name="Count of enroll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1D2F34-1E81-4D33-9B2D-FFE23E243A72}" name="PivotTableCenterName"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4">
    <pivotField dataField="1" showAll="0"/>
    <pivotField showAll="0"/>
    <pivotField showAll="0"/>
    <pivotField showAll="0"/>
    <pivotField numFmtId="164" showAll="0"/>
    <pivotField numFmtId="164" showAll="0"/>
    <pivotField numFmtId="164" showAll="0"/>
    <pivotField showAll="0"/>
    <pivotField showAll="0">
      <items count="5">
        <item x="0"/>
        <item x="2"/>
        <item x="1"/>
        <item x="3"/>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showAll="0">
      <items count="5">
        <item x="3"/>
        <item x="1"/>
        <item x="0"/>
        <item x="2"/>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s>
  <rowFields count="1">
    <field x="28"/>
  </rowFields>
  <rowItems count="4">
    <i>
      <x/>
    </i>
    <i>
      <x v="1"/>
    </i>
    <i>
      <x v="2"/>
    </i>
    <i t="grand">
      <x/>
    </i>
  </rowItems>
  <colItems count="1">
    <i/>
  </colItems>
  <dataFields count="1">
    <dataField name="Count of enrollment_id" fld="0" subtotal="count" baseField="2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month" xr10:uid="{D2511DFB-62D3-4729-86F8-823DEAC19A78}" sourceName="enrollment_month">
  <pivotTables>
    <pivotTable tabId="8" name="PTmonth"/>
  </pivotTables>
  <data>
    <tabular pivotCacheId="891521601">
      <items count="10">
        <i x="6" s="1"/>
        <i x="5" s="1"/>
        <i x="7" s="1"/>
        <i x="3" s="1"/>
        <i x="9" s="1"/>
        <i x="0" s="1"/>
        <i x="1" s="1"/>
        <i x="2" s="1"/>
        <i x="8"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DF66A228-5B88-49CB-9E20-0A64E9EC1CCC}" sourceName="Metric">
  <pivotTables>
    <pivotTable tabId="8" name="PTfinancial"/>
  </pivotTables>
  <data>
    <tabular pivotCacheId="130662266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_name" xr10:uid="{B2DF1EE5-5158-4369-97BF-8B0CC30C936D}" sourceName="center_name">
  <pivotTables>
    <pivotTable tabId="8" name="PivotTableCenterName"/>
    <pivotTable tabId="8" name="PTcoursename"/>
    <pivotTable tabId="8" name="PTmonth"/>
    <pivotTable tabId="8" name="PTstatus"/>
  </pivotTables>
  <data>
    <tabular pivotCacheId="89152160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B569CE80-69EC-4AC4-8015-3C01AEBAF243}" sourceName="course_name">
  <pivotTables>
    <pivotTable tabId="8" name="PTcoursename"/>
    <pivotTable tabId="8" name="PivotTableCenterName"/>
    <pivotTable tabId="8" name="PTmonth"/>
    <pivotTable tabId="8" name="PTstatus"/>
  </pivotTables>
  <data>
    <tabular pivotCacheId="891521601">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932C003-BD68-4070-A3DA-36C034D28AEB}" sourceName="status">
  <pivotTables>
    <pivotTable tabId="8" name="PTstatus"/>
    <pivotTable tabId="8" name="PivotTableCenterName"/>
    <pivotTable tabId="8" name="PTcoursename"/>
    <pivotTable tabId="8" name="PTmonth"/>
  </pivotTables>
  <data>
    <tabular pivotCacheId="89152160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rollment_month" xr10:uid="{E643667F-93DE-4A7D-AA95-FC131CF76977}" cache="Slicer_enrollment_month" caption="enrollment_month" rowHeight="241300"/>
  <slicer name="Metric" xr10:uid="{DED55110-5A41-499D-8796-DF2E6B6DD97F}" cache="Slicer_Metric" caption="Metric"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er_name" xr10:uid="{56B2B948-AD8B-4888-BB16-77B4F5F927F8}" cache="Slicer_center_name" caption="center_name" columnCount="3" rowHeight="241300"/>
  <slicer name="course_name" xr10:uid="{A0909F2C-7955-4ED8-88B0-5C9D7F5C89AC}" cache="Slicer_course_name" caption="course_name" columnCount="4" rowHeight="241300"/>
  <slicer name="status" xr10:uid="{57B65C38-EFB7-4775-A81F-81C034F4D2C8}" cache="Slicer_status" caption="status"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94FFA-74B6-4CCC-BB14-AC7FFB87EA66}" name="tblEnrollment" displayName="tblEnrollment" ref="A1:AH36" totalsRowShown="0">
  <autoFilter ref="A1:AH36" xr:uid="{A6B94FFA-74B6-4CCC-BB14-AC7FFB87EA66}"/>
  <tableColumns count="34">
    <tableColumn id="1" xr3:uid="{E00D4DC4-9AD3-4018-8F60-928B6872614A}" name="enrollment_id"/>
    <tableColumn id="2" xr3:uid="{745301AE-0A3A-47E3-AC29-6E9F89CCD479}" name="student_id"/>
    <tableColumn id="3" xr3:uid="{167AAB8A-CC70-441E-B92A-E0634132BD42}" name="course_id"/>
    <tableColumn id="4" xr3:uid="{7CA51E74-896C-49CC-9BBD-6BF417454FE7}" name="center_id"/>
    <tableColumn id="5" xr3:uid="{1B0287ED-6F6F-4722-98B9-C4D1C0E779CB}" name="enrollment_date" dataDxfId="5"/>
    <tableColumn id="6" xr3:uid="{9F2B0F74-87AA-403E-AFF0-52ECC11A92AD}" name="start_date" dataDxfId="4"/>
    <tableColumn id="7" xr3:uid="{7F88365B-7DF9-4B25-AB61-AC241FEBFE28}" name="expected_end_date" dataDxfId="3"/>
    <tableColumn id="8" xr3:uid="{337C1CDD-55C4-4310-AB2B-087D5E06C097}" name="actual_end_date" dataDxfId="2"/>
    <tableColumn id="9" xr3:uid="{F0E6AB9A-6403-4842-BCAA-2737FD7CAD7F}" name="status"/>
    <tableColumn id="10" xr3:uid="{EB3811C9-10EC-4C1D-A10C-0C0D1656E648}" name="deposit_amount"/>
    <tableColumn id="11" xr3:uid="{9FD1B631-0C20-4FBF-9DD8-D2D3DD13D60E}" name="payment_plan"/>
    <tableColumn id="12" xr3:uid="{EC736956-F165-4A8E-9B4F-E9EFDD964D2B}" name="admission_staff"/>
    <tableColumn id="13" xr3:uid="{32479DC5-2D77-4FBA-99CC-598F6127DE89}" name="full_name"/>
    <tableColumn id="14" xr3:uid="{D6F50E4D-26CA-48D5-ACC9-E4AB40F35D20}" name="email"/>
    <tableColumn id="15" xr3:uid="{18B2BFEE-7EC3-4C21-A26C-69E539A55B5B}" name="phone"/>
    <tableColumn id="16" xr3:uid="{AB66A6B4-5225-4530-A2AF-7476B4E9209C}" name="dob" dataDxfId="1"/>
    <tableColumn id="17" xr3:uid="{E07B87BB-C901-4632-B6EA-2507A113798A}" name="gender"/>
    <tableColumn id="18" xr3:uid="{B5F1B63B-C45B-4BAA-8533-E8F7B21B4076}" name="education_level"/>
    <tableColumn id="19" xr3:uid="{EB1CA4BF-A6F6-4261-97BB-9A16811A9765}" name="employment_status"/>
    <tableColumn id="20" xr3:uid="{C51B3ECF-7E8E-4673-9FC4-6B313BD17861}" name="monthly_income_range"/>
    <tableColumn id="21" xr3:uid="{F1CFC473-B72D-46B1-AB01-5BAEA34220CC}" name="referral_source"/>
    <tableColumn id="22" xr3:uid="{BC3B9477-4A9B-487E-B915-DB889D9D0169}" name="registration_date" dataDxfId="0"/>
    <tableColumn id="23" xr3:uid="{34558473-BA22-4E23-93C8-E3BE4DD3E1C9}" name="course_code"/>
    <tableColumn id="24" xr3:uid="{2D74C1A2-E5C1-4BB3-AE42-C23CBF1E76AF}" name="course_name"/>
    <tableColumn id="25" xr3:uid="{1162079E-CBB1-4B98-B9BF-2F090345D32F}" name="category"/>
    <tableColumn id="26" xr3:uid="{0A84C51E-025A-4A2B-BB96-C181695507BB}" name="duration_weeks"/>
    <tableColumn id="27" xr3:uid="{6EF153C3-93FF-40FD-B861-D16D319A941C}" name="total_fee"/>
    <tableColumn id="28" xr3:uid="{B6BEA1C9-A2BA-400B-A785-AE2F738C93AF}" name="description"/>
    <tableColumn id="29" xr3:uid="{D750ACA1-D26B-4211-B635-DDC72732DABD}" name="center_name"/>
    <tableColumn id="30" xr3:uid="{34850B16-F38A-4DA1-8167-DABE0F9D3AB1}" name="city"/>
    <tableColumn id="31" xr3:uid="{B8A08979-70DD-4D7E-BD33-2091E2CCE484}" name="state"/>
    <tableColumn id="32" xr3:uid="{3999B4AC-0126-4013-A492-A7BF1BADE809}" name="manager_name"/>
    <tableColumn id="33" xr3:uid="{C57AAA4B-DD8C-49A5-B763-713DCC5D5CFA}" name="year_opened"/>
    <tableColumn id="34" xr3:uid="{AD0A71AB-1539-47E9-9710-BD3C411F72B8}" name="enrollment_mon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F3593A-C69C-4F6C-B778-4589BC80F3A5}" name="tb2financials" displayName="tb2financials" ref="D1:E4" totalsRowShown="0">
  <autoFilter ref="D1:E4" xr:uid="{53F3593A-C69C-4F6C-B778-4589BC80F3A5}"/>
  <tableColumns count="2">
    <tableColumn id="1" xr3:uid="{912BE42E-62EF-4ADE-B597-699F800DA1DB}" name="Metric"/>
    <tableColumn id="2" xr3:uid="{D0FDAEBE-A4A3-4229-86EA-E380DAEB169E}" name="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C200-8654-49BD-B14A-205A48B43545}">
  <dimension ref="A2:T14"/>
  <sheetViews>
    <sheetView topLeftCell="E1" workbookViewId="0">
      <selection activeCell="S6" sqref="S6"/>
    </sheetView>
  </sheetViews>
  <sheetFormatPr defaultRowHeight="14.5"/>
  <cols>
    <col min="1" max="1" width="14.36328125" bestFit="1" customWidth="1"/>
    <col min="2" max="2" width="20.54296875" bestFit="1" customWidth="1"/>
    <col min="3" max="3" width="17.453125" customWidth="1"/>
    <col min="4" max="4" width="12.36328125" bestFit="1" customWidth="1"/>
    <col min="5" max="6" width="20.54296875" bestFit="1" customWidth="1"/>
    <col min="8" max="8" width="24.7265625" bestFit="1" customWidth="1"/>
    <col min="9" max="9" width="20.54296875" bestFit="1" customWidth="1"/>
    <col min="11" max="11" width="12.36328125" bestFit="1" customWidth="1"/>
    <col min="12" max="12" width="20.54296875" bestFit="1" customWidth="1"/>
    <col min="14" max="14" width="18.36328125" bestFit="1" customWidth="1"/>
    <col min="15" max="15" width="14" bestFit="1" customWidth="1"/>
    <col min="19" max="19" width="17.453125" bestFit="1" customWidth="1"/>
    <col min="20" max="20" width="11.81640625" bestFit="1" customWidth="1"/>
  </cols>
  <sheetData>
    <row r="2" spans="1:20">
      <c r="D2" s="2" t="s">
        <v>287</v>
      </c>
      <c r="E2" t="s">
        <v>289</v>
      </c>
      <c r="H2" s="2" t="s">
        <v>287</v>
      </c>
      <c r="I2" t="s">
        <v>289</v>
      </c>
      <c r="K2" s="2" t="s">
        <v>287</v>
      </c>
      <c r="L2" t="s">
        <v>289</v>
      </c>
      <c r="N2" s="2" t="s">
        <v>287</v>
      </c>
      <c r="O2" t="s">
        <v>290</v>
      </c>
      <c r="S2" s="2" t="s">
        <v>287</v>
      </c>
      <c r="T2" t="s">
        <v>292</v>
      </c>
    </row>
    <row r="3" spans="1:20">
      <c r="A3" s="2" t="s">
        <v>287</v>
      </c>
      <c r="B3" t="s">
        <v>289</v>
      </c>
      <c r="D3" s="3" t="s">
        <v>152</v>
      </c>
      <c r="E3" s="4">
        <v>3</v>
      </c>
      <c r="H3" s="3" t="s">
        <v>112</v>
      </c>
      <c r="I3" s="4">
        <v>5</v>
      </c>
      <c r="K3" s="3" t="s">
        <v>38</v>
      </c>
      <c r="L3" s="4">
        <v>16</v>
      </c>
      <c r="N3" s="3" t="s">
        <v>243</v>
      </c>
      <c r="O3" s="4">
        <v>2291197.7200000002</v>
      </c>
      <c r="S3" s="3" t="s">
        <v>45</v>
      </c>
      <c r="T3" s="4">
        <v>4</v>
      </c>
    </row>
    <row r="4" spans="1:20">
      <c r="A4" s="3" t="s">
        <v>74</v>
      </c>
      <c r="B4" s="4">
        <v>11</v>
      </c>
      <c r="D4" s="3" t="s">
        <v>147</v>
      </c>
      <c r="E4" s="4">
        <v>1</v>
      </c>
      <c r="H4" s="3" t="s">
        <v>71</v>
      </c>
      <c r="I4" s="4">
        <v>10</v>
      </c>
      <c r="K4" s="3" t="s">
        <v>117</v>
      </c>
      <c r="L4" s="4">
        <v>9</v>
      </c>
      <c r="N4" s="3" t="s">
        <v>242</v>
      </c>
      <c r="O4" s="4">
        <v>10008802.279999999</v>
      </c>
      <c r="S4" s="3" t="s">
        <v>84</v>
      </c>
      <c r="T4" s="4">
        <v>6</v>
      </c>
    </row>
    <row r="5" spans="1:20">
      <c r="A5" s="3" t="s">
        <v>100</v>
      </c>
      <c r="B5" s="4">
        <v>8</v>
      </c>
      <c r="D5" s="3" t="s">
        <v>167</v>
      </c>
      <c r="E5" s="4">
        <v>4</v>
      </c>
      <c r="H5" s="3" t="s">
        <v>49</v>
      </c>
      <c r="I5" s="4">
        <v>18</v>
      </c>
      <c r="K5" s="3" t="s">
        <v>80</v>
      </c>
      <c r="L5" s="4">
        <v>9</v>
      </c>
      <c r="N5" s="3" t="s">
        <v>224</v>
      </c>
      <c r="O5" s="4">
        <v>12300000</v>
      </c>
      <c r="S5" s="3" t="s">
        <v>279</v>
      </c>
      <c r="T5" s="4">
        <v>9</v>
      </c>
    </row>
    <row r="6" spans="1:20">
      <c r="A6" s="3" t="s">
        <v>52</v>
      </c>
      <c r="B6" s="4">
        <v>16</v>
      </c>
      <c r="D6" s="3" t="s">
        <v>137</v>
      </c>
      <c r="E6" s="4">
        <v>4</v>
      </c>
      <c r="H6" s="3" t="s">
        <v>97</v>
      </c>
      <c r="I6" s="4">
        <v>2</v>
      </c>
      <c r="K6" s="3" t="s">
        <v>210</v>
      </c>
      <c r="L6" s="4">
        <v>1</v>
      </c>
      <c r="N6" s="3" t="s">
        <v>288</v>
      </c>
      <c r="O6" s="4">
        <v>24600000</v>
      </c>
      <c r="S6" s="3" t="s">
        <v>278</v>
      </c>
      <c r="T6" s="4">
        <v>13</v>
      </c>
    </row>
    <row r="7" spans="1:20">
      <c r="A7" s="3" t="s">
        <v>288</v>
      </c>
      <c r="B7" s="4">
        <v>35</v>
      </c>
      <c r="D7" s="3" t="s">
        <v>184</v>
      </c>
      <c r="E7" s="4">
        <v>2</v>
      </c>
      <c r="H7" s="3" t="s">
        <v>288</v>
      </c>
      <c r="I7" s="4">
        <v>35</v>
      </c>
      <c r="K7" s="3" t="s">
        <v>288</v>
      </c>
      <c r="L7" s="4">
        <v>35</v>
      </c>
      <c r="S7" s="3" t="s">
        <v>284</v>
      </c>
      <c r="T7" s="4">
        <v>6</v>
      </c>
    </row>
    <row r="8" spans="1:20">
      <c r="D8" s="3" t="s">
        <v>56</v>
      </c>
      <c r="E8" s="4">
        <v>3</v>
      </c>
      <c r="S8" s="3" t="s">
        <v>280</v>
      </c>
      <c r="T8" s="4">
        <v>7</v>
      </c>
    </row>
    <row r="9" spans="1:20">
      <c r="D9" s="3" t="s">
        <v>87</v>
      </c>
      <c r="E9" s="4">
        <v>4</v>
      </c>
      <c r="S9" s="3" t="s">
        <v>281</v>
      </c>
      <c r="T9" s="4">
        <v>5</v>
      </c>
    </row>
    <row r="10" spans="1:20">
      <c r="D10" s="3" t="s">
        <v>121</v>
      </c>
      <c r="E10" s="4">
        <v>8</v>
      </c>
      <c r="S10" s="3" t="s">
        <v>282</v>
      </c>
      <c r="T10" s="4">
        <v>3</v>
      </c>
    </row>
    <row r="11" spans="1:20">
      <c r="D11" s="3" t="s">
        <v>182</v>
      </c>
      <c r="E11" s="4">
        <v>1</v>
      </c>
      <c r="S11" s="3" t="s">
        <v>283</v>
      </c>
      <c r="T11" s="4">
        <v>4</v>
      </c>
    </row>
    <row r="12" spans="1:20">
      <c r="D12" s="3" t="s">
        <v>140</v>
      </c>
      <c r="E12" s="4">
        <v>5</v>
      </c>
      <c r="S12" s="3" t="s">
        <v>67</v>
      </c>
      <c r="T12" s="4">
        <v>6</v>
      </c>
    </row>
    <row r="13" spans="1:20">
      <c r="D13" s="3" t="s">
        <v>288</v>
      </c>
      <c r="E13" s="4">
        <v>35</v>
      </c>
      <c r="S13" s="3" t="s">
        <v>216</v>
      </c>
      <c r="T13" s="4">
        <v>22</v>
      </c>
    </row>
    <row r="14" spans="1:20">
      <c r="S14" s="3" t="s">
        <v>288</v>
      </c>
      <c r="T14" s="4">
        <v>85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6"/>
  <sheetViews>
    <sheetView topLeftCell="A2" workbookViewId="0">
      <selection activeCell="A10" sqref="A10"/>
    </sheetView>
  </sheetViews>
  <sheetFormatPr defaultRowHeight="14.5"/>
  <cols>
    <col min="1" max="1" width="14.6328125" customWidth="1"/>
    <col min="2" max="2" width="11.90625" customWidth="1"/>
    <col min="3" max="3" width="10.90625" customWidth="1"/>
    <col min="4" max="4" width="10.7265625" customWidth="1"/>
    <col min="5" max="5" width="16.90625" customWidth="1"/>
    <col min="6" max="6" width="11.6328125" customWidth="1"/>
    <col min="7" max="7" width="19.453125" customWidth="1"/>
    <col min="8" max="8" width="16.90625" customWidth="1"/>
    <col min="10" max="10" width="16.7265625" customWidth="1"/>
    <col min="11" max="11" width="14.90625" customWidth="1"/>
    <col min="12" max="12" width="16.08984375" customWidth="1"/>
    <col min="13" max="13" width="11.1796875" customWidth="1"/>
    <col min="18" max="18" width="16" customWidth="1"/>
    <col min="19" max="19" width="19.6328125" customWidth="1"/>
    <col min="20" max="20" width="22.6328125" customWidth="1"/>
    <col min="21" max="21" width="15.6328125" customWidth="1"/>
    <col min="22" max="22" width="17.36328125" customWidth="1"/>
    <col min="23" max="23" width="13.36328125" customWidth="1"/>
    <col min="24" max="24" width="14.08984375" customWidth="1"/>
    <col min="25" max="25" width="10" customWidth="1"/>
    <col min="26" max="26" width="16.36328125" customWidth="1"/>
    <col min="27" max="27" width="10.453125" customWidth="1"/>
    <col min="28" max="28" width="12.1796875" customWidth="1"/>
    <col min="29" max="29" width="13.90625" customWidth="1"/>
    <col min="32" max="32" width="15.90625" customWidth="1"/>
    <col min="33" max="33" width="13.81640625" customWidth="1"/>
    <col min="34" max="34" width="18.7265625"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t="s">
        <v>34</v>
      </c>
      <c r="B2" t="s">
        <v>35</v>
      </c>
      <c r="C2" t="s">
        <v>36</v>
      </c>
      <c r="D2" t="s">
        <v>37</v>
      </c>
      <c r="E2" s="1">
        <v>46032</v>
      </c>
      <c r="F2" s="1">
        <v>46042</v>
      </c>
      <c r="G2" s="1">
        <v>46217</v>
      </c>
      <c r="I2" t="s">
        <v>38</v>
      </c>
      <c r="J2">
        <v>175000</v>
      </c>
      <c r="K2" t="s">
        <v>39</v>
      </c>
      <c r="L2" t="s">
        <v>40</v>
      </c>
      <c r="M2" t="s">
        <v>41</v>
      </c>
      <c r="N2" t="s">
        <v>42</v>
      </c>
      <c r="O2">
        <v>8031234567</v>
      </c>
      <c r="P2" s="1">
        <v>34773</v>
      </c>
      <c r="Q2" t="s">
        <v>43</v>
      </c>
      <c r="R2" t="s">
        <v>44</v>
      </c>
      <c r="S2" t="s">
        <v>45</v>
      </c>
      <c r="T2" t="s">
        <v>46</v>
      </c>
      <c r="U2" t="s">
        <v>47</v>
      </c>
      <c r="V2" s="1">
        <v>46032</v>
      </c>
      <c r="W2" t="s">
        <v>48</v>
      </c>
      <c r="X2" t="s">
        <v>49</v>
      </c>
      <c r="Y2" t="s">
        <v>50</v>
      </c>
      <c r="Z2">
        <v>24</v>
      </c>
      <c r="AA2">
        <v>350000</v>
      </c>
      <c r="AB2" t="s">
        <v>51</v>
      </c>
      <c r="AC2" t="s">
        <v>52</v>
      </c>
      <c r="AD2" t="s">
        <v>53</v>
      </c>
      <c r="AE2" t="s">
        <v>54</v>
      </c>
      <c r="AF2" t="s">
        <v>55</v>
      </c>
      <c r="AG2">
        <v>2019</v>
      </c>
      <c r="AH2" t="s">
        <v>56</v>
      </c>
    </row>
    <row r="3" spans="1:34">
      <c r="A3" t="s">
        <v>57</v>
      </c>
      <c r="B3" t="s">
        <v>58</v>
      </c>
      <c r="C3" t="s">
        <v>59</v>
      </c>
      <c r="D3" t="s">
        <v>60</v>
      </c>
      <c r="E3" s="1">
        <v>46037</v>
      </c>
      <c r="F3" s="1">
        <v>46047</v>
      </c>
      <c r="G3" s="1">
        <v>46185</v>
      </c>
      <c r="I3" t="s">
        <v>38</v>
      </c>
      <c r="J3">
        <v>80000</v>
      </c>
      <c r="K3" t="s">
        <v>61</v>
      </c>
      <c r="L3" t="s">
        <v>62</v>
      </c>
      <c r="M3" t="s">
        <v>63</v>
      </c>
      <c r="N3" t="s">
        <v>64</v>
      </c>
      <c r="O3">
        <v>7045678901</v>
      </c>
      <c r="P3" s="1">
        <v>35998</v>
      </c>
      <c r="Q3" t="s">
        <v>65</v>
      </c>
      <c r="R3" t="s">
        <v>66</v>
      </c>
      <c r="S3" t="s">
        <v>67</v>
      </c>
      <c r="T3" t="s">
        <v>68</v>
      </c>
      <c r="U3" t="s">
        <v>69</v>
      </c>
      <c r="V3" s="1">
        <v>46037</v>
      </c>
      <c r="W3" t="s">
        <v>70</v>
      </c>
      <c r="X3" t="s">
        <v>71</v>
      </c>
      <c r="Y3" t="s">
        <v>72</v>
      </c>
      <c r="Z3">
        <v>20</v>
      </c>
      <c r="AA3">
        <v>400000</v>
      </c>
      <c r="AB3" t="s">
        <v>73</v>
      </c>
      <c r="AC3" t="s">
        <v>74</v>
      </c>
      <c r="AD3" t="s">
        <v>75</v>
      </c>
      <c r="AE3" t="s">
        <v>76</v>
      </c>
      <c r="AF3" t="s">
        <v>77</v>
      </c>
      <c r="AG3">
        <v>2021</v>
      </c>
      <c r="AH3" t="s">
        <v>56</v>
      </c>
    </row>
    <row r="4" spans="1:34">
      <c r="A4" t="s">
        <v>78</v>
      </c>
      <c r="B4" t="s">
        <v>79</v>
      </c>
      <c r="C4" t="s">
        <v>36</v>
      </c>
      <c r="D4" t="s">
        <v>37</v>
      </c>
      <c r="E4" s="1">
        <v>46054</v>
      </c>
      <c r="F4" s="1">
        <v>46063</v>
      </c>
      <c r="G4" s="1">
        <v>46238</v>
      </c>
      <c r="I4" t="s">
        <v>80</v>
      </c>
      <c r="J4">
        <v>50000</v>
      </c>
      <c r="K4" t="s">
        <v>61</v>
      </c>
      <c r="L4" t="s">
        <v>40</v>
      </c>
      <c r="M4" t="s">
        <v>81</v>
      </c>
      <c r="N4" t="s">
        <v>82</v>
      </c>
      <c r="O4">
        <v>9087654321</v>
      </c>
      <c r="P4" s="1">
        <v>33913</v>
      </c>
      <c r="Q4" t="s">
        <v>43</v>
      </c>
      <c r="R4" t="s">
        <v>83</v>
      </c>
      <c r="S4" t="s">
        <v>84</v>
      </c>
      <c r="T4" t="s">
        <v>85</v>
      </c>
      <c r="U4" t="s">
        <v>86</v>
      </c>
      <c r="V4" s="1">
        <v>46054</v>
      </c>
      <c r="W4" t="s">
        <v>48</v>
      </c>
      <c r="X4" t="s">
        <v>49</v>
      </c>
      <c r="Y4" t="s">
        <v>50</v>
      </c>
      <c r="Z4">
        <v>24</v>
      </c>
      <c r="AA4">
        <v>350000</v>
      </c>
      <c r="AB4" t="s">
        <v>51</v>
      </c>
      <c r="AC4" t="s">
        <v>52</v>
      </c>
      <c r="AD4" t="s">
        <v>53</v>
      </c>
      <c r="AE4" t="s">
        <v>54</v>
      </c>
      <c r="AF4" t="s">
        <v>55</v>
      </c>
      <c r="AG4">
        <v>2019</v>
      </c>
      <c r="AH4" t="s">
        <v>87</v>
      </c>
    </row>
    <row r="5" spans="1:34">
      <c r="A5" t="s">
        <v>88</v>
      </c>
      <c r="B5" t="s">
        <v>89</v>
      </c>
      <c r="C5" t="s">
        <v>90</v>
      </c>
      <c r="D5" t="s">
        <v>91</v>
      </c>
      <c r="E5" s="1">
        <v>46063</v>
      </c>
      <c r="F5" s="1">
        <v>46068</v>
      </c>
      <c r="G5" s="1">
        <v>46152</v>
      </c>
      <c r="I5" t="s">
        <v>38</v>
      </c>
      <c r="J5">
        <v>125000</v>
      </c>
      <c r="K5" t="s">
        <v>39</v>
      </c>
      <c r="L5" t="s">
        <v>92</v>
      </c>
      <c r="M5" t="s">
        <v>93</v>
      </c>
      <c r="N5" t="s">
        <v>94</v>
      </c>
      <c r="O5">
        <v>8123456789</v>
      </c>
      <c r="P5" s="1">
        <v>36543</v>
      </c>
      <c r="Q5" t="s">
        <v>65</v>
      </c>
      <c r="R5" t="s">
        <v>44</v>
      </c>
      <c r="S5" t="s">
        <v>95</v>
      </c>
      <c r="T5" t="s">
        <v>68</v>
      </c>
      <c r="U5" t="s">
        <v>47</v>
      </c>
      <c r="V5" s="1">
        <v>46063</v>
      </c>
      <c r="W5" t="s">
        <v>96</v>
      </c>
      <c r="X5" t="s">
        <v>97</v>
      </c>
      <c r="Y5" t="s">
        <v>98</v>
      </c>
      <c r="Z5">
        <v>12</v>
      </c>
      <c r="AA5">
        <v>250000</v>
      </c>
      <c r="AB5" t="s">
        <v>99</v>
      </c>
      <c r="AC5" t="s">
        <v>100</v>
      </c>
      <c r="AD5" t="s">
        <v>101</v>
      </c>
      <c r="AE5" t="s">
        <v>102</v>
      </c>
      <c r="AF5" t="s">
        <v>103</v>
      </c>
      <c r="AG5">
        <v>2020</v>
      </c>
      <c r="AH5" t="s">
        <v>87</v>
      </c>
    </row>
    <row r="6" spans="1:34">
      <c r="A6" t="s">
        <v>104</v>
      </c>
      <c r="B6" t="s">
        <v>105</v>
      </c>
      <c r="C6" t="s">
        <v>106</v>
      </c>
      <c r="D6" t="s">
        <v>60</v>
      </c>
      <c r="E6" s="1">
        <v>46068</v>
      </c>
      <c r="F6" s="1">
        <v>46073</v>
      </c>
      <c r="G6" s="1">
        <v>46185</v>
      </c>
      <c r="I6" t="s">
        <v>38</v>
      </c>
      <c r="J6">
        <v>150000</v>
      </c>
      <c r="K6" t="s">
        <v>39</v>
      </c>
      <c r="L6" t="s">
        <v>62</v>
      </c>
      <c r="M6" t="s">
        <v>107</v>
      </c>
      <c r="N6" t="s">
        <v>108</v>
      </c>
      <c r="O6">
        <v>7099887766</v>
      </c>
      <c r="P6" s="1">
        <v>33023</v>
      </c>
      <c r="Q6" t="s">
        <v>43</v>
      </c>
      <c r="R6" t="s">
        <v>109</v>
      </c>
      <c r="S6" t="s">
        <v>45</v>
      </c>
      <c r="T6" t="s">
        <v>110</v>
      </c>
      <c r="U6" t="s">
        <v>69</v>
      </c>
      <c r="V6" s="1">
        <v>46068</v>
      </c>
      <c r="W6" t="s">
        <v>111</v>
      </c>
      <c r="X6" t="s">
        <v>112</v>
      </c>
      <c r="Y6" t="s">
        <v>113</v>
      </c>
      <c r="Z6">
        <v>16</v>
      </c>
      <c r="AA6">
        <v>300000</v>
      </c>
      <c r="AB6" t="s">
        <v>114</v>
      </c>
      <c r="AC6" t="s">
        <v>74</v>
      </c>
      <c r="AD6" t="s">
        <v>75</v>
      </c>
      <c r="AE6" t="s">
        <v>76</v>
      </c>
      <c r="AF6" t="s">
        <v>77</v>
      </c>
      <c r="AG6">
        <v>2021</v>
      </c>
      <c r="AH6" t="s">
        <v>87</v>
      </c>
    </row>
    <row r="7" spans="1:34">
      <c r="A7" t="s">
        <v>115</v>
      </c>
      <c r="B7" t="s">
        <v>116</v>
      </c>
      <c r="C7" t="s">
        <v>36</v>
      </c>
      <c r="D7" t="s">
        <v>37</v>
      </c>
      <c r="E7" s="1">
        <v>46085</v>
      </c>
      <c r="F7" s="1">
        <v>46091</v>
      </c>
      <c r="G7" s="1">
        <v>46259</v>
      </c>
      <c r="H7" s="1">
        <v>46235</v>
      </c>
      <c r="I7" t="s">
        <v>117</v>
      </c>
      <c r="J7">
        <v>156000</v>
      </c>
      <c r="K7" t="s">
        <v>39</v>
      </c>
      <c r="L7" t="s">
        <v>40</v>
      </c>
      <c r="M7" t="s">
        <v>118</v>
      </c>
      <c r="N7" t="s">
        <v>119</v>
      </c>
      <c r="O7">
        <v>8118227824</v>
      </c>
      <c r="P7" s="1">
        <v>36465</v>
      </c>
      <c r="Q7" t="s">
        <v>65</v>
      </c>
      <c r="R7" t="s">
        <v>44</v>
      </c>
      <c r="S7" t="s">
        <v>84</v>
      </c>
      <c r="T7" t="s">
        <v>85</v>
      </c>
      <c r="U7" t="s">
        <v>120</v>
      </c>
      <c r="V7" s="1">
        <v>46162</v>
      </c>
      <c r="W7" t="s">
        <v>48</v>
      </c>
      <c r="X7" t="s">
        <v>49</v>
      </c>
      <c r="Y7" t="s">
        <v>50</v>
      </c>
      <c r="Z7">
        <v>24</v>
      </c>
      <c r="AA7">
        <v>350000</v>
      </c>
      <c r="AB7" t="s">
        <v>51</v>
      </c>
      <c r="AC7" t="s">
        <v>52</v>
      </c>
      <c r="AD7" t="s">
        <v>53</v>
      </c>
      <c r="AE7" t="s">
        <v>54</v>
      </c>
      <c r="AF7" t="s">
        <v>55</v>
      </c>
      <c r="AG7">
        <v>2019</v>
      </c>
      <c r="AH7" t="s">
        <v>121</v>
      </c>
    </row>
    <row r="8" spans="1:34">
      <c r="A8" t="s">
        <v>122</v>
      </c>
      <c r="B8" t="s">
        <v>123</v>
      </c>
      <c r="C8" t="s">
        <v>36</v>
      </c>
      <c r="D8" t="s">
        <v>37</v>
      </c>
      <c r="E8" s="1">
        <v>46086</v>
      </c>
      <c r="F8" s="1">
        <v>46098</v>
      </c>
      <c r="G8" s="1">
        <v>46266</v>
      </c>
      <c r="I8" t="s">
        <v>38</v>
      </c>
      <c r="J8">
        <v>63000</v>
      </c>
      <c r="K8" t="s">
        <v>124</v>
      </c>
      <c r="L8" t="s">
        <v>62</v>
      </c>
      <c r="M8" t="s">
        <v>125</v>
      </c>
      <c r="N8" t="s">
        <v>126</v>
      </c>
      <c r="O8">
        <v>7035427849</v>
      </c>
      <c r="P8" s="1">
        <v>37500</v>
      </c>
      <c r="Q8" t="s">
        <v>65</v>
      </c>
      <c r="R8" t="s">
        <v>66</v>
      </c>
      <c r="S8" t="s">
        <v>67</v>
      </c>
      <c r="T8" t="s">
        <v>68</v>
      </c>
      <c r="U8" t="s">
        <v>69</v>
      </c>
      <c r="V8" s="1">
        <v>45862</v>
      </c>
      <c r="W8" t="s">
        <v>48</v>
      </c>
      <c r="X8" t="s">
        <v>49</v>
      </c>
      <c r="Y8" t="s">
        <v>50</v>
      </c>
      <c r="Z8">
        <v>24</v>
      </c>
      <c r="AA8">
        <v>350000</v>
      </c>
      <c r="AB8" t="s">
        <v>51</v>
      </c>
      <c r="AC8" t="s">
        <v>52</v>
      </c>
      <c r="AD8" t="s">
        <v>53</v>
      </c>
      <c r="AE8" t="s">
        <v>54</v>
      </c>
      <c r="AF8" t="s">
        <v>55</v>
      </c>
      <c r="AG8">
        <v>2019</v>
      </c>
      <c r="AH8" t="s">
        <v>121</v>
      </c>
    </row>
    <row r="9" spans="1:34">
      <c r="A9" t="s">
        <v>127</v>
      </c>
      <c r="B9" t="s">
        <v>128</v>
      </c>
      <c r="C9" t="s">
        <v>59</v>
      </c>
      <c r="D9" t="s">
        <v>91</v>
      </c>
      <c r="E9" s="1">
        <v>46108</v>
      </c>
      <c r="F9" s="1">
        <v>46113</v>
      </c>
      <c r="G9" s="1">
        <v>46253</v>
      </c>
      <c r="I9" t="s">
        <v>38</v>
      </c>
      <c r="J9">
        <v>106000</v>
      </c>
      <c r="K9" t="s">
        <v>124</v>
      </c>
      <c r="L9" t="s">
        <v>92</v>
      </c>
      <c r="M9" t="s">
        <v>129</v>
      </c>
      <c r="N9" t="s">
        <v>130</v>
      </c>
      <c r="O9">
        <v>9028809570</v>
      </c>
      <c r="P9" s="1">
        <v>33059</v>
      </c>
      <c r="Q9" t="s">
        <v>43</v>
      </c>
      <c r="R9" t="s">
        <v>131</v>
      </c>
      <c r="S9" t="s">
        <v>95</v>
      </c>
      <c r="T9" t="s">
        <v>85</v>
      </c>
      <c r="U9" t="s">
        <v>86</v>
      </c>
      <c r="V9" s="1">
        <v>46095</v>
      </c>
      <c r="W9" t="s">
        <v>70</v>
      </c>
      <c r="X9" t="s">
        <v>71</v>
      </c>
      <c r="Y9" t="s">
        <v>72</v>
      </c>
      <c r="Z9">
        <v>20</v>
      </c>
      <c r="AA9">
        <v>400000</v>
      </c>
      <c r="AB9" t="s">
        <v>73</v>
      </c>
      <c r="AC9" t="s">
        <v>100</v>
      </c>
      <c r="AD9" t="s">
        <v>101</v>
      </c>
      <c r="AE9" t="s">
        <v>102</v>
      </c>
      <c r="AF9" t="s">
        <v>103</v>
      </c>
      <c r="AG9">
        <v>2020</v>
      </c>
      <c r="AH9" t="s">
        <v>121</v>
      </c>
    </row>
    <row r="10" spans="1:34">
      <c r="A10" t="s">
        <v>132</v>
      </c>
      <c r="B10" t="s">
        <v>133</v>
      </c>
      <c r="C10" t="s">
        <v>59</v>
      </c>
      <c r="D10" t="s">
        <v>37</v>
      </c>
      <c r="E10" s="1">
        <v>45989</v>
      </c>
      <c r="F10" s="1">
        <v>45998</v>
      </c>
      <c r="G10" s="1">
        <v>46138</v>
      </c>
      <c r="I10" t="s">
        <v>38</v>
      </c>
      <c r="J10">
        <v>228000</v>
      </c>
      <c r="K10" t="s">
        <v>39</v>
      </c>
      <c r="L10" t="s">
        <v>134</v>
      </c>
      <c r="M10" t="s">
        <v>135</v>
      </c>
      <c r="N10" t="s">
        <v>136</v>
      </c>
      <c r="O10">
        <v>8152553419</v>
      </c>
      <c r="P10" s="1">
        <v>37344</v>
      </c>
      <c r="Q10" t="s">
        <v>43</v>
      </c>
      <c r="R10" t="s">
        <v>109</v>
      </c>
      <c r="S10" t="s">
        <v>67</v>
      </c>
      <c r="T10" t="s">
        <v>68</v>
      </c>
      <c r="U10" t="s">
        <v>86</v>
      </c>
      <c r="V10" s="1">
        <v>46104</v>
      </c>
      <c r="W10" t="s">
        <v>70</v>
      </c>
      <c r="X10" t="s">
        <v>71</v>
      </c>
      <c r="Y10" t="s">
        <v>72</v>
      </c>
      <c r="Z10">
        <v>20</v>
      </c>
      <c r="AA10">
        <v>400000</v>
      </c>
      <c r="AB10" t="s">
        <v>73</v>
      </c>
      <c r="AC10" t="s">
        <v>52</v>
      </c>
      <c r="AD10" t="s">
        <v>53</v>
      </c>
      <c r="AE10" t="s">
        <v>54</v>
      </c>
      <c r="AF10" t="s">
        <v>55</v>
      </c>
      <c r="AG10">
        <v>2019</v>
      </c>
      <c r="AH10" t="s">
        <v>137</v>
      </c>
    </row>
    <row r="11" spans="1:34">
      <c r="A11" t="s">
        <v>138</v>
      </c>
      <c r="B11" t="s">
        <v>79</v>
      </c>
      <c r="C11" t="s">
        <v>90</v>
      </c>
      <c r="D11" t="s">
        <v>37</v>
      </c>
      <c r="E11" s="1">
        <v>46191</v>
      </c>
      <c r="F11" s="1">
        <v>46204</v>
      </c>
      <c r="G11" s="1">
        <v>46288</v>
      </c>
      <c r="H11" s="1">
        <v>46235</v>
      </c>
      <c r="I11" t="s">
        <v>80</v>
      </c>
      <c r="J11">
        <v>74000</v>
      </c>
      <c r="K11" t="s">
        <v>61</v>
      </c>
      <c r="L11" t="s">
        <v>139</v>
      </c>
      <c r="M11" t="s">
        <v>81</v>
      </c>
      <c r="N11" t="s">
        <v>82</v>
      </c>
      <c r="O11">
        <v>9087654321</v>
      </c>
      <c r="P11" s="1">
        <v>33913</v>
      </c>
      <c r="Q11" t="s">
        <v>43</v>
      </c>
      <c r="R11" t="s">
        <v>83</v>
      </c>
      <c r="S11" t="s">
        <v>84</v>
      </c>
      <c r="T11" t="s">
        <v>85</v>
      </c>
      <c r="U11" t="s">
        <v>86</v>
      </c>
      <c r="V11" s="1">
        <v>46054</v>
      </c>
      <c r="W11" t="s">
        <v>96</v>
      </c>
      <c r="X11" t="s">
        <v>97</v>
      </c>
      <c r="Y11" t="s">
        <v>98</v>
      </c>
      <c r="Z11">
        <v>12</v>
      </c>
      <c r="AA11">
        <v>250000</v>
      </c>
      <c r="AB11" t="s">
        <v>99</v>
      </c>
      <c r="AC11" t="s">
        <v>52</v>
      </c>
      <c r="AD11" t="s">
        <v>53</v>
      </c>
      <c r="AE11" t="s">
        <v>54</v>
      </c>
      <c r="AF11" t="s">
        <v>55</v>
      </c>
      <c r="AG11">
        <v>2019</v>
      </c>
      <c r="AH11" t="s">
        <v>140</v>
      </c>
    </row>
    <row r="12" spans="1:34">
      <c r="A12" t="s">
        <v>141</v>
      </c>
      <c r="B12" t="s">
        <v>58</v>
      </c>
      <c r="C12" t="s">
        <v>59</v>
      </c>
      <c r="D12" t="s">
        <v>37</v>
      </c>
      <c r="E12" s="1">
        <v>45981</v>
      </c>
      <c r="F12" s="1">
        <v>45996</v>
      </c>
      <c r="G12" s="1">
        <v>46136</v>
      </c>
      <c r="I12" t="s">
        <v>38</v>
      </c>
      <c r="J12">
        <v>84000</v>
      </c>
      <c r="K12" t="s">
        <v>124</v>
      </c>
      <c r="L12" t="s">
        <v>40</v>
      </c>
      <c r="M12" t="s">
        <v>63</v>
      </c>
      <c r="N12" t="s">
        <v>64</v>
      </c>
      <c r="O12">
        <v>7045678901</v>
      </c>
      <c r="P12" s="1">
        <v>35998</v>
      </c>
      <c r="Q12" t="s">
        <v>65</v>
      </c>
      <c r="R12" t="s">
        <v>66</v>
      </c>
      <c r="S12" t="s">
        <v>67</v>
      </c>
      <c r="T12" t="s">
        <v>68</v>
      </c>
      <c r="U12" t="s">
        <v>69</v>
      </c>
      <c r="V12" s="1">
        <v>46037</v>
      </c>
      <c r="W12" t="s">
        <v>70</v>
      </c>
      <c r="X12" t="s">
        <v>71</v>
      </c>
      <c r="Y12" t="s">
        <v>72</v>
      </c>
      <c r="Z12">
        <v>20</v>
      </c>
      <c r="AA12">
        <v>400000</v>
      </c>
      <c r="AB12" t="s">
        <v>73</v>
      </c>
      <c r="AC12" t="s">
        <v>52</v>
      </c>
      <c r="AD12" t="s">
        <v>53</v>
      </c>
      <c r="AE12" t="s">
        <v>54</v>
      </c>
      <c r="AF12" t="s">
        <v>55</v>
      </c>
      <c r="AG12">
        <v>2019</v>
      </c>
      <c r="AH12" t="s">
        <v>137</v>
      </c>
    </row>
    <row r="13" spans="1:34">
      <c r="A13" t="s">
        <v>142</v>
      </c>
      <c r="B13" t="s">
        <v>143</v>
      </c>
      <c r="C13" t="s">
        <v>36</v>
      </c>
      <c r="D13" t="s">
        <v>60</v>
      </c>
      <c r="E13" s="1">
        <v>45874</v>
      </c>
      <c r="F13" s="1">
        <v>45888</v>
      </c>
      <c r="G13" s="1">
        <v>46056</v>
      </c>
      <c r="I13" t="s">
        <v>38</v>
      </c>
      <c r="J13">
        <v>203000</v>
      </c>
      <c r="K13" t="s">
        <v>39</v>
      </c>
      <c r="L13" t="s">
        <v>62</v>
      </c>
      <c r="M13" t="s">
        <v>144</v>
      </c>
      <c r="N13" t="s">
        <v>145</v>
      </c>
      <c r="O13">
        <v>7091361939</v>
      </c>
      <c r="P13" s="1">
        <v>37013</v>
      </c>
      <c r="Q13" t="s">
        <v>43</v>
      </c>
      <c r="R13" t="s">
        <v>83</v>
      </c>
      <c r="S13" t="s">
        <v>45</v>
      </c>
      <c r="T13" t="s">
        <v>146</v>
      </c>
      <c r="U13" t="s">
        <v>69</v>
      </c>
      <c r="V13" s="1">
        <v>46056</v>
      </c>
      <c r="W13" t="s">
        <v>48</v>
      </c>
      <c r="X13" t="s">
        <v>49</v>
      </c>
      <c r="Y13" t="s">
        <v>50</v>
      </c>
      <c r="Z13">
        <v>24</v>
      </c>
      <c r="AA13">
        <v>350000</v>
      </c>
      <c r="AB13" t="s">
        <v>51</v>
      </c>
      <c r="AC13" t="s">
        <v>74</v>
      </c>
      <c r="AD13" t="s">
        <v>75</v>
      </c>
      <c r="AE13" t="s">
        <v>76</v>
      </c>
      <c r="AF13" t="s">
        <v>77</v>
      </c>
      <c r="AG13">
        <v>2021</v>
      </c>
      <c r="AH13" t="s">
        <v>147</v>
      </c>
    </row>
    <row r="14" spans="1:34">
      <c r="A14" t="s">
        <v>148</v>
      </c>
      <c r="B14" t="s">
        <v>149</v>
      </c>
      <c r="C14" t="s">
        <v>59</v>
      </c>
      <c r="D14" t="s">
        <v>60</v>
      </c>
      <c r="E14" s="1">
        <v>45851</v>
      </c>
      <c r="F14" s="1">
        <v>45866</v>
      </c>
      <c r="G14" s="1">
        <v>46006</v>
      </c>
      <c r="I14" t="s">
        <v>38</v>
      </c>
      <c r="J14">
        <v>229000</v>
      </c>
      <c r="K14" t="s">
        <v>39</v>
      </c>
      <c r="L14" t="s">
        <v>92</v>
      </c>
      <c r="M14" t="s">
        <v>150</v>
      </c>
      <c r="N14" t="s">
        <v>151</v>
      </c>
      <c r="O14">
        <v>8136026064</v>
      </c>
      <c r="P14" s="1">
        <v>35870</v>
      </c>
      <c r="Q14" t="s">
        <v>43</v>
      </c>
      <c r="R14" t="s">
        <v>109</v>
      </c>
      <c r="S14" t="s">
        <v>67</v>
      </c>
      <c r="T14" t="s">
        <v>68</v>
      </c>
      <c r="U14" t="s">
        <v>47</v>
      </c>
      <c r="V14" s="1">
        <v>46147</v>
      </c>
      <c r="W14" t="s">
        <v>70</v>
      </c>
      <c r="X14" t="s">
        <v>71</v>
      </c>
      <c r="Y14" t="s">
        <v>72</v>
      </c>
      <c r="Z14">
        <v>20</v>
      </c>
      <c r="AA14">
        <v>400000</v>
      </c>
      <c r="AB14" t="s">
        <v>73</v>
      </c>
      <c r="AC14" t="s">
        <v>74</v>
      </c>
      <c r="AD14" t="s">
        <v>75</v>
      </c>
      <c r="AE14" t="s">
        <v>76</v>
      </c>
      <c r="AF14" t="s">
        <v>77</v>
      </c>
      <c r="AG14">
        <v>2021</v>
      </c>
      <c r="AH14" t="s">
        <v>152</v>
      </c>
    </row>
    <row r="15" spans="1:34">
      <c r="A15" t="s">
        <v>153</v>
      </c>
      <c r="B15" t="s">
        <v>154</v>
      </c>
      <c r="C15" t="s">
        <v>36</v>
      </c>
      <c r="D15" t="s">
        <v>37</v>
      </c>
      <c r="E15" s="1">
        <v>45976</v>
      </c>
      <c r="F15" s="1">
        <v>45984</v>
      </c>
      <c r="G15" s="1">
        <v>46152</v>
      </c>
      <c r="H15" s="1">
        <v>46155</v>
      </c>
      <c r="I15" t="s">
        <v>117</v>
      </c>
      <c r="J15">
        <v>164000</v>
      </c>
      <c r="K15" t="s">
        <v>39</v>
      </c>
      <c r="L15" t="s">
        <v>134</v>
      </c>
      <c r="M15" t="s">
        <v>155</v>
      </c>
      <c r="N15" t="s">
        <v>156</v>
      </c>
      <c r="O15">
        <v>9003056413</v>
      </c>
      <c r="P15" s="1">
        <v>36789</v>
      </c>
      <c r="Q15" t="s">
        <v>65</v>
      </c>
      <c r="R15" t="s">
        <v>44</v>
      </c>
      <c r="S15" t="s">
        <v>84</v>
      </c>
      <c r="T15" t="s">
        <v>110</v>
      </c>
      <c r="U15" t="s">
        <v>86</v>
      </c>
      <c r="V15" s="1">
        <v>46043</v>
      </c>
      <c r="W15" t="s">
        <v>48</v>
      </c>
      <c r="X15" t="s">
        <v>49</v>
      </c>
      <c r="Y15" t="s">
        <v>50</v>
      </c>
      <c r="Z15">
        <v>24</v>
      </c>
      <c r="AA15">
        <v>350000</v>
      </c>
      <c r="AB15" t="s">
        <v>51</v>
      </c>
      <c r="AC15" t="s">
        <v>52</v>
      </c>
      <c r="AD15" t="s">
        <v>53</v>
      </c>
      <c r="AE15" t="s">
        <v>54</v>
      </c>
      <c r="AF15" t="s">
        <v>55</v>
      </c>
      <c r="AG15">
        <v>2019</v>
      </c>
      <c r="AH15" t="s">
        <v>137</v>
      </c>
    </row>
    <row r="16" spans="1:34">
      <c r="A16" t="s">
        <v>157</v>
      </c>
      <c r="B16" t="s">
        <v>158</v>
      </c>
      <c r="C16" t="s">
        <v>36</v>
      </c>
      <c r="D16" t="s">
        <v>91</v>
      </c>
      <c r="E16" s="1">
        <v>46024</v>
      </c>
      <c r="F16" s="1">
        <v>46033</v>
      </c>
      <c r="G16" s="1">
        <v>46201</v>
      </c>
      <c r="I16" t="s">
        <v>38</v>
      </c>
      <c r="J16">
        <v>173000</v>
      </c>
      <c r="K16" t="s">
        <v>39</v>
      </c>
      <c r="L16" t="s">
        <v>139</v>
      </c>
      <c r="M16" t="s">
        <v>159</v>
      </c>
      <c r="N16" t="s">
        <v>160</v>
      </c>
      <c r="O16">
        <v>9014586850</v>
      </c>
      <c r="P16" s="1">
        <v>33087</v>
      </c>
      <c r="Q16" t="s">
        <v>43</v>
      </c>
      <c r="R16" t="s">
        <v>44</v>
      </c>
      <c r="S16" t="s">
        <v>45</v>
      </c>
      <c r="T16" t="s">
        <v>146</v>
      </c>
      <c r="U16" t="s">
        <v>120</v>
      </c>
      <c r="V16" s="1">
        <v>46036</v>
      </c>
      <c r="W16" t="s">
        <v>48</v>
      </c>
      <c r="X16" t="s">
        <v>49</v>
      </c>
      <c r="Y16" t="s">
        <v>50</v>
      </c>
      <c r="Z16">
        <v>24</v>
      </c>
      <c r="AA16">
        <v>350000</v>
      </c>
      <c r="AB16" t="s">
        <v>51</v>
      </c>
      <c r="AC16" t="s">
        <v>100</v>
      </c>
      <c r="AD16" t="s">
        <v>101</v>
      </c>
      <c r="AE16" t="s">
        <v>102</v>
      </c>
      <c r="AF16" t="s">
        <v>103</v>
      </c>
      <c r="AG16">
        <v>2020</v>
      </c>
      <c r="AH16" t="s">
        <v>56</v>
      </c>
    </row>
    <row r="17" spans="1:34">
      <c r="A17" t="s">
        <v>161</v>
      </c>
      <c r="B17" t="s">
        <v>162</v>
      </c>
      <c r="C17" t="s">
        <v>106</v>
      </c>
      <c r="D17" t="s">
        <v>37</v>
      </c>
      <c r="E17" s="1">
        <v>45988</v>
      </c>
      <c r="F17" s="1">
        <v>45996</v>
      </c>
      <c r="G17" s="1">
        <v>46108</v>
      </c>
      <c r="H17" s="1">
        <v>46115</v>
      </c>
      <c r="I17" t="s">
        <v>117</v>
      </c>
      <c r="J17">
        <v>107000</v>
      </c>
      <c r="K17" t="s">
        <v>61</v>
      </c>
      <c r="L17" t="s">
        <v>40</v>
      </c>
      <c r="M17" t="s">
        <v>163</v>
      </c>
      <c r="N17" t="s">
        <v>164</v>
      </c>
      <c r="O17">
        <v>7018244935</v>
      </c>
      <c r="P17" s="1">
        <v>33810</v>
      </c>
      <c r="Q17" t="s">
        <v>43</v>
      </c>
      <c r="R17" t="s">
        <v>44</v>
      </c>
      <c r="S17" t="s">
        <v>95</v>
      </c>
      <c r="T17" t="s">
        <v>85</v>
      </c>
      <c r="U17" t="s">
        <v>86</v>
      </c>
      <c r="V17" s="1">
        <v>45835</v>
      </c>
      <c r="W17" t="s">
        <v>111</v>
      </c>
      <c r="X17" t="s">
        <v>112</v>
      </c>
      <c r="Y17" t="s">
        <v>113</v>
      </c>
      <c r="Z17">
        <v>16</v>
      </c>
      <c r="AA17">
        <v>300000</v>
      </c>
      <c r="AB17" t="s">
        <v>114</v>
      </c>
      <c r="AC17" t="s">
        <v>52</v>
      </c>
      <c r="AD17" t="s">
        <v>53</v>
      </c>
      <c r="AE17" t="s">
        <v>54</v>
      </c>
      <c r="AF17" t="s">
        <v>55</v>
      </c>
      <c r="AG17">
        <v>2019</v>
      </c>
      <c r="AH17" t="s">
        <v>137</v>
      </c>
    </row>
    <row r="18" spans="1:34">
      <c r="A18" t="s">
        <v>165</v>
      </c>
      <c r="B18" t="s">
        <v>105</v>
      </c>
      <c r="C18" t="s">
        <v>36</v>
      </c>
      <c r="D18" t="s">
        <v>37</v>
      </c>
      <c r="E18" s="1">
        <v>45935</v>
      </c>
      <c r="F18" s="1">
        <v>45943</v>
      </c>
      <c r="G18" s="1">
        <v>46111</v>
      </c>
      <c r="H18" s="1">
        <v>45972</v>
      </c>
      <c r="I18" t="s">
        <v>80</v>
      </c>
      <c r="J18">
        <v>350000</v>
      </c>
      <c r="K18" t="s">
        <v>166</v>
      </c>
      <c r="L18" t="s">
        <v>62</v>
      </c>
      <c r="M18" t="s">
        <v>107</v>
      </c>
      <c r="N18" t="s">
        <v>108</v>
      </c>
      <c r="O18">
        <v>7099887766</v>
      </c>
      <c r="P18" s="1">
        <v>33023</v>
      </c>
      <c r="Q18" t="s">
        <v>43</v>
      </c>
      <c r="R18" t="s">
        <v>109</v>
      </c>
      <c r="S18" t="s">
        <v>45</v>
      </c>
      <c r="T18" t="s">
        <v>110</v>
      </c>
      <c r="U18" t="s">
        <v>69</v>
      </c>
      <c r="V18" s="1">
        <v>46068</v>
      </c>
      <c r="W18" t="s">
        <v>48</v>
      </c>
      <c r="X18" t="s">
        <v>49</v>
      </c>
      <c r="Y18" t="s">
        <v>50</v>
      </c>
      <c r="Z18">
        <v>24</v>
      </c>
      <c r="AA18">
        <v>350000</v>
      </c>
      <c r="AB18" t="s">
        <v>51</v>
      </c>
      <c r="AC18" t="s">
        <v>52</v>
      </c>
      <c r="AD18" t="s">
        <v>53</v>
      </c>
      <c r="AE18" t="s">
        <v>54</v>
      </c>
      <c r="AF18" t="s">
        <v>55</v>
      </c>
      <c r="AG18">
        <v>2019</v>
      </c>
      <c r="AH18" t="s">
        <v>167</v>
      </c>
    </row>
    <row r="19" spans="1:34">
      <c r="A19" t="s">
        <v>168</v>
      </c>
      <c r="B19" t="s">
        <v>143</v>
      </c>
      <c r="C19" t="s">
        <v>36</v>
      </c>
      <c r="D19" t="s">
        <v>60</v>
      </c>
      <c r="E19" s="1">
        <v>46097</v>
      </c>
      <c r="F19" s="1">
        <v>46105</v>
      </c>
      <c r="G19" s="1">
        <v>46273</v>
      </c>
      <c r="H19" s="1">
        <v>46236</v>
      </c>
      <c r="I19" t="s">
        <v>117</v>
      </c>
      <c r="J19">
        <v>88000</v>
      </c>
      <c r="K19" t="s">
        <v>61</v>
      </c>
      <c r="L19" t="s">
        <v>92</v>
      </c>
      <c r="M19" t="s">
        <v>144</v>
      </c>
      <c r="N19" t="s">
        <v>145</v>
      </c>
      <c r="O19">
        <v>7091361939</v>
      </c>
      <c r="P19" s="1">
        <v>37013</v>
      </c>
      <c r="Q19" t="s">
        <v>43</v>
      </c>
      <c r="R19" t="s">
        <v>83</v>
      </c>
      <c r="S19" t="s">
        <v>45</v>
      </c>
      <c r="T19" t="s">
        <v>146</v>
      </c>
      <c r="U19" t="s">
        <v>69</v>
      </c>
      <c r="V19" s="1">
        <v>46056</v>
      </c>
      <c r="W19" t="s">
        <v>48</v>
      </c>
      <c r="X19" t="s">
        <v>49</v>
      </c>
      <c r="Y19" t="s">
        <v>50</v>
      </c>
      <c r="Z19">
        <v>24</v>
      </c>
      <c r="AA19">
        <v>350000</v>
      </c>
      <c r="AB19" t="s">
        <v>51</v>
      </c>
      <c r="AC19" t="s">
        <v>74</v>
      </c>
      <c r="AD19" t="s">
        <v>75</v>
      </c>
      <c r="AE19" t="s">
        <v>76</v>
      </c>
      <c r="AF19" t="s">
        <v>77</v>
      </c>
      <c r="AG19">
        <v>2021</v>
      </c>
      <c r="AH19" t="s">
        <v>121</v>
      </c>
    </row>
    <row r="20" spans="1:34">
      <c r="A20" t="s">
        <v>169</v>
      </c>
      <c r="B20" t="s">
        <v>170</v>
      </c>
      <c r="C20" t="s">
        <v>59</v>
      </c>
      <c r="D20" t="s">
        <v>91</v>
      </c>
      <c r="E20" s="1">
        <v>46176</v>
      </c>
      <c r="F20" s="1">
        <v>46182</v>
      </c>
      <c r="G20" s="1">
        <v>46322</v>
      </c>
      <c r="I20" t="s">
        <v>38</v>
      </c>
      <c r="J20">
        <v>400000</v>
      </c>
      <c r="K20" t="s">
        <v>166</v>
      </c>
      <c r="L20" t="s">
        <v>134</v>
      </c>
      <c r="M20" t="s">
        <v>171</v>
      </c>
      <c r="N20" t="s">
        <v>172</v>
      </c>
      <c r="O20">
        <v>9056981693</v>
      </c>
      <c r="P20" s="1">
        <v>34229</v>
      </c>
      <c r="Q20" t="s">
        <v>65</v>
      </c>
      <c r="R20" t="s">
        <v>83</v>
      </c>
      <c r="S20" t="s">
        <v>84</v>
      </c>
      <c r="T20" t="s">
        <v>85</v>
      </c>
      <c r="U20" t="s">
        <v>86</v>
      </c>
      <c r="V20" s="1">
        <v>46108</v>
      </c>
      <c r="W20" t="s">
        <v>70</v>
      </c>
      <c r="X20" t="s">
        <v>71</v>
      </c>
      <c r="Y20" t="s">
        <v>72</v>
      </c>
      <c r="Z20">
        <v>20</v>
      </c>
      <c r="AA20">
        <v>400000</v>
      </c>
      <c r="AB20" t="s">
        <v>73</v>
      </c>
      <c r="AC20" t="s">
        <v>100</v>
      </c>
      <c r="AD20" t="s">
        <v>101</v>
      </c>
      <c r="AE20" t="s">
        <v>102</v>
      </c>
      <c r="AF20" t="s">
        <v>103</v>
      </c>
      <c r="AG20">
        <v>2020</v>
      </c>
      <c r="AH20" t="s">
        <v>140</v>
      </c>
    </row>
    <row r="21" spans="1:34">
      <c r="A21" t="s">
        <v>173</v>
      </c>
      <c r="B21" t="s">
        <v>79</v>
      </c>
      <c r="C21" t="s">
        <v>36</v>
      </c>
      <c r="D21" t="s">
        <v>37</v>
      </c>
      <c r="E21" s="1">
        <v>46105</v>
      </c>
      <c r="F21" s="1">
        <v>46110</v>
      </c>
      <c r="G21" s="1">
        <v>46278</v>
      </c>
      <c r="H21" s="1">
        <v>46148</v>
      </c>
      <c r="I21" t="s">
        <v>80</v>
      </c>
      <c r="J21">
        <v>204000</v>
      </c>
      <c r="K21" t="s">
        <v>39</v>
      </c>
      <c r="L21" t="s">
        <v>139</v>
      </c>
      <c r="M21" t="s">
        <v>81</v>
      </c>
      <c r="N21" t="s">
        <v>82</v>
      </c>
      <c r="O21">
        <v>9087654321</v>
      </c>
      <c r="P21" s="1">
        <v>33913</v>
      </c>
      <c r="Q21" t="s">
        <v>43</v>
      </c>
      <c r="R21" t="s">
        <v>83</v>
      </c>
      <c r="S21" t="s">
        <v>84</v>
      </c>
      <c r="T21" t="s">
        <v>85</v>
      </c>
      <c r="U21" t="s">
        <v>86</v>
      </c>
      <c r="V21" s="1">
        <v>46054</v>
      </c>
      <c r="W21" t="s">
        <v>48</v>
      </c>
      <c r="X21" t="s">
        <v>49</v>
      </c>
      <c r="Y21" t="s">
        <v>50</v>
      </c>
      <c r="Z21">
        <v>24</v>
      </c>
      <c r="AA21">
        <v>350000</v>
      </c>
      <c r="AB21" t="s">
        <v>51</v>
      </c>
      <c r="AC21" t="s">
        <v>52</v>
      </c>
      <c r="AD21" t="s">
        <v>53</v>
      </c>
      <c r="AE21" t="s">
        <v>54</v>
      </c>
      <c r="AF21" t="s">
        <v>55</v>
      </c>
      <c r="AG21">
        <v>2019</v>
      </c>
      <c r="AH21" t="s">
        <v>121</v>
      </c>
    </row>
    <row r="22" spans="1:34">
      <c r="A22" t="s">
        <v>174</v>
      </c>
      <c r="B22" t="s">
        <v>175</v>
      </c>
      <c r="C22" t="s">
        <v>59</v>
      </c>
      <c r="D22" t="s">
        <v>60</v>
      </c>
      <c r="E22" s="1">
        <v>45847</v>
      </c>
      <c r="F22" s="1">
        <v>45861</v>
      </c>
      <c r="G22" s="1">
        <v>46001</v>
      </c>
      <c r="I22" t="s">
        <v>38</v>
      </c>
      <c r="J22">
        <v>210000</v>
      </c>
      <c r="K22" t="s">
        <v>39</v>
      </c>
      <c r="L22" t="s">
        <v>40</v>
      </c>
      <c r="M22" t="s">
        <v>176</v>
      </c>
      <c r="N22" t="s">
        <v>177</v>
      </c>
      <c r="O22">
        <v>9034624751</v>
      </c>
      <c r="P22" s="1">
        <v>32219</v>
      </c>
      <c r="Q22" t="s">
        <v>43</v>
      </c>
      <c r="R22" t="s">
        <v>66</v>
      </c>
      <c r="S22" t="s">
        <v>95</v>
      </c>
      <c r="T22" t="s">
        <v>68</v>
      </c>
      <c r="U22" t="s">
        <v>86</v>
      </c>
      <c r="V22" s="1">
        <v>46056</v>
      </c>
      <c r="W22" t="s">
        <v>70</v>
      </c>
      <c r="X22" t="s">
        <v>71</v>
      </c>
      <c r="Y22" t="s">
        <v>72</v>
      </c>
      <c r="Z22">
        <v>20</v>
      </c>
      <c r="AA22">
        <v>400000</v>
      </c>
      <c r="AB22" t="s">
        <v>73</v>
      </c>
      <c r="AC22" t="s">
        <v>74</v>
      </c>
      <c r="AD22" t="s">
        <v>75</v>
      </c>
      <c r="AE22" t="s">
        <v>76</v>
      </c>
      <c r="AF22" t="s">
        <v>77</v>
      </c>
      <c r="AG22">
        <v>2021</v>
      </c>
      <c r="AH22" t="s">
        <v>152</v>
      </c>
    </row>
    <row r="23" spans="1:34">
      <c r="A23" t="s">
        <v>178</v>
      </c>
      <c r="B23" t="s">
        <v>179</v>
      </c>
      <c r="C23" t="s">
        <v>36</v>
      </c>
      <c r="D23" t="s">
        <v>91</v>
      </c>
      <c r="E23" s="1">
        <v>46159</v>
      </c>
      <c r="F23" s="1">
        <v>46173</v>
      </c>
      <c r="G23" s="1">
        <v>46341</v>
      </c>
      <c r="H23" s="1">
        <v>46238</v>
      </c>
      <c r="I23" t="s">
        <v>117</v>
      </c>
      <c r="J23">
        <v>196000</v>
      </c>
      <c r="K23" t="s">
        <v>39</v>
      </c>
      <c r="L23" t="s">
        <v>62</v>
      </c>
      <c r="M23" t="s">
        <v>180</v>
      </c>
      <c r="N23" t="s">
        <v>181</v>
      </c>
      <c r="O23">
        <v>7026542351</v>
      </c>
      <c r="P23" s="1">
        <v>32902</v>
      </c>
      <c r="Q23" t="s">
        <v>65</v>
      </c>
      <c r="R23" t="s">
        <v>66</v>
      </c>
      <c r="S23" t="s">
        <v>84</v>
      </c>
      <c r="T23" t="s">
        <v>110</v>
      </c>
      <c r="U23" t="s">
        <v>69</v>
      </c>
      <c r="V23" s="1">
        <v>46182</v>
      </c>
      <c r="W23" t="s">
        <v>48</v>
      </c>
      <c r="X23" t="s">
        <v>49</v>
      </c>
      <c r="Y23" t="s">
        <v>50</v>
      </c>
      <c r="Z23">
        <v>24</v>
      </c>
      <c r="AA23">
        <v>350000</v>
      </c>
      <c r="AB23" t="s">
        <v>51</v>
      </c>
      <c r="AC23" t="s">
        <v>100</v>
      </c>
      <c r="AD23" t="s">
        <v>101</v>
      </c>
      <c r="AE23" t="s">
        <v>102</v>
      </c>
      <c r="AF23" t="s">
        <v>103</v>
      </c>
      <c r="AG23">
        <v>2020</v>
      </c>
      <c r="AH23" t="s">
        <v>182</v>
      </c>
    </row>
    <row r="24" spans="1:34">
      <c r="A24" t="s">
        <v>183</v>
      </c>
      <c r="B24" t="s">
        <v>123</v>
      </c>
      <c r="C24" t="s">
        <v>36</v>
      </c>
      <c r="D24" t="s">
        <v>37</v>
      </c>
      <c r="E24" s="1">
        <v>45998</v>
      </c>
      <c r="F24" s="1">
        <v>46004</v>
      </c>
      <c r="G24" s="1">
        <v>46172</v>
      </c>
      <c r="H24" s="1">
        <v>46175</v>
      </c>
      <c r="I24" t="s">
        <v>117</v>
      </c>
      <c r="J24">
        <v>164000</v>
      </c>
      <c r="K24" t="s">
        <v>39</v>
      </c>
      <c r="L24" t="s">
        <v>92</v>
      </c>
      <c r="M24" t="s">
        <v>125</v>
      </c>
      <c r="N24" t="s">
        <v>126</v>
      </c>
      <c r="O24">
        <v>7035427849</v>
      </c>
      <c r="P24" s="1">
        <v>37500</v>
      </c>
      <c r="Q24" t="s">
        <v>65</v>
      </c>
      <c r="R24" t="s">
        <v>66</v>
      </c>
      <c r="S24" t="s">
        <v>67</v>
      </c>
      <c r="T24" t="s">
        <v>68</v>
      </c>
      <c r="U24" t="s">
        <v>69</v>
      </c>
      <c r="V24" s="1">
        <v>45862</v>
      </c>
      <c r="W24" t="s">
        <v>48</v>
      </c>
      <c r="X24" t="s">
        <v>49</v>
      </c>
      <c r="Y24" t="s">
        <v>50</v>
      </c>
      <c r="Z24">
        <v>24</v>
      </c>
      <c r="AA24">
        <v>350000</v>
      </c>
      <c r="AB24" t="s">
        <v>51</v>
      </c>
      <c r="AC24" t="s">
        <v>52</v>
      </c>
      <c r="AD24" t="s">
        <v>53</v>
      </c>
      <c r="AE24" t="s">
        <v>54</v>
      </c>
      <c r="AF24" t="s">
        <v>55</v>
      </c>
      <c r="AG24">
        <v>2019</v>
      </c>
      <c r="AH24" t="s">
        <v>184</v>
      </c>
    </row>
    <row r="25" spans="1:34">
      <c r="A25" t="s">
        <v>185</v>
      </c>
      <c r="B25" t="s">
        <v>186</v>
      </c>
      <c r="C25" t="s">
        <v>106</v>
      </c>
      <c r="D25" t="s">
        <v>37</v>
      </c>
      <c r="E25" s="1">
        <v>45994</v>
      </c>
      <c r="F25" s="1">
        <v>46009</v>
      </c>
      <c r="G25" s="1">
        <v>46121</v>
      </c>
      <c r="H25" s="1">
        <v>46034</v>
      </c>
      <c r="I25" t="s">
        <v>80</v>
      </c>
      <c r="J25">
        <v>69000</v>
      </c>
      <c r="K25" t="s">
        <v>61</v>
      </c>
      <c r="L25" t="s">
        <v>134</v>
      </c>
      <c r="M25" t="s">
        <v>187</v>
      </c>
      <c r="N25" t="s">
        <v>188</v>
      </c>
      <c r="O25">
        <v>7016566701</v>
      </c>
      <c r="P25" s="1">
        <v>32639</v>
      </c>
      <c r="Q25" t="s">
        <v>65</v>
      </c>
      <c r="R25" t="s">
        <v>66</v>
      </c>
      <c r="S25" t="s">
        <v>84</v>
      </c>
      <c r="T25" t="s">
        <v>85</v>
      </c>
      <c r="U25" t="s">
        <v>86</v>
      </c>
      <c r="V25" s="1">
        <v>46080</v>
      </c>
      <c r="W25" t="s">
        <v>111</v>
      </c>
      <c r="X25" t="s">
        <v>112</v>
      </c>
      <c r="Y25" t="s">
        <v>113</v>
      </c>
      <c r="Z25">
        <v>16</v>
      </c>
      <c r="AA25">
        <v>300000</v>
      </c>
      <c r="AB25" t="s">
        <v>114</v>
      </c>
      <c r="AC25" t="s">
        <v>52</v>
      </c>
      <c r="AD25" t="s">
        <v>53</v>
      </c>
      <c r="AE25" t="s">
        <v>54</v>
      </c>
      <c r="AF25" t="s">
        <v>55</v>
      </c>
      <c r="AG25">
        <v>2019</v>
      </c>
      <c r="AH25" t="s">
        <v>184</v>
      </c>
    </row>
    <row r="26" spans="1:34">
      <c r="A26" t="s">
        <v>189</v>
      </c>
      <c r="B26" t="s">
        <v>116</v>
      </c>
      <c r="C26" t="s">
        <v>106</v>
      </c>
      <c r="D26" t="s">
        <v>91</v>
      </c>
      <c r="E26" s="1">
        <v>45947</v>
      </c>
      <c r="F26" s="1">
        <v>45961</v>
      </c>
      <c r="G26" s="1">
        <v>46073</v>
      </c>
      <c r="H26" s="1">
        <v>46077</v>
      </c>
      <c r="I26" t="s">
        <v>117</v>
      </c>
      <c r="J26">
        <v>92000</v>
      </c>
      <c r="K26" t="s">
        <v>61</v>
      </c>
      <c r="L26" t="s">
        <v>139</v>
      </c>
      <c r="M26" t="s">
        <v>118</v>
      </c>
      <c r="N26" t="s">
        <v>119</v>
      </c>
      <c r="O26">
        <v>8118227824</v>
      </c>
      <c r="P26" s="1">
        <v>36465</v>
      </c>
      <c r="Q26" t="s">
        <v>65</v>
      </c>
      <c r="R26" t="s">
        <v>44</v>
      </c>
      <c r="S26" t="s">
        <v>84</v>
      </c>
      <c r="T26" t="s">
        <v>85</v>
      </c>
      <c r="U26" t="s">
        <v>120</v>
      </c>
      <c r="V26" s="1">
        <v>46162</v>
      </c>
      <c r="W26" t="s">
        <v>111</v>
      </c>
      <c r="X26" t="s">
        <v>112</v>
      </c>
      <c r="Y26" t="s">
        <v>113</v>
      </c>
      <c r="Z26">
        <v>16</v>
      </c>
      <c r="AA26">
        <v>300000</v>
      </c>
      <c r="AB26" t="s">
        <v>114</v>
      </c>
      <c r="AC26" t="s">
        <v>100</v>
      </c>
      <c r="AD26" t="s">
        <v>101</v>
      </c>
      <c r="AE26" t="s">
        <v>102</v>
      </c>
      <c r="AF26" t="s">
        <v>103</v>
      </c>
      <c r="AG26">
        <v>2020</v>
      </c>
      <c r="AH26" t="s">
        <v>167</v>
      </c>
    </row>
    <row r="27" spans="1:34">
      <c r="A27" t="s">
        <v>190</v>
      </c>
      <c r="B27" t="s">
        <v>162</v>
      </c>
      <c r="C27" t="s">
        <v>59</v>
      </c>
      <c r="D27" t="s">
        <v>91</v>
      </c>
      <c r="E27" s="1">
        <v>46112</v>
      </c>
      <c r="F27" s="1">
        <v>46121</v>
      </c>
      <c r="G27" s="1">
        <v>46261</v>
      </c>
      <c r="H27" s="1">
        <v>46140</v>
      </c>
      <c r="I27" t="s">
        <v>80</v>
      </c>
      <c r="J27">
        <v>25000</v>
      </c>
      <c r="K27" t="s">
        <v>39</v>
      </c>
      <c r="L27" t="s">
        <v>40</v>
      </c>
      <c r="M27" t="s">
        <v>163</v>
      </c>
      <c r="N27" t="s">
        <v>164</v>
      </c>
      <c r="O27">
        <v>7018244935</v>
      </c>
      <c r="P27" s="1">
        <v>33810</v>
      </c>
      <c r="Q27" t="s">
        <v>43</v>
      </c>
      <c r="R27" t="s">
        <v>44</v>
      </c>
      <c r="S27" t="s">
        <v>95</v>
      </c>
      <c r="T27" t="s">
        <v>85</v>
      </c>
      <c r="U27" t="s">
        <v>86</v>
      </c>
      <c r="V27" s="1">
        <v>45835</v>
      </c>
      <c r="W27" t="s">
        <v>70</v>
      </c>
      <c r="X27" t="s">
        <v>71</v>
      </c>
      <c r="Y27" t="s">
        <v>72</v>
      </c>
      <c r="Z27">
        <v>20</v>
      </c>
      <c r="AA27">
        <v>400000</v>
      </c>
      <c r="AB27" t="s">
        <v>73</v>
      </c>
      <c r="AC27" t="s">
        <v>100</v>
      </c>
      <c r="AD27" t="s">
        <v>101</v>
      </c>
      <c r="AE27" t="s">
        <v>102</v>
      </c>
      <c r="AF27" t="s">
        <v>103</v>
      </c>
      <c r="AG27">
        <v>2020</v>
      </c>
      <c r="AH27" t="s">
        <v>121</v>
      </c>
    </row>
    <row r="28" spans="1:34">
      <c r="A28" t="s">
        <v>191</v>
      </c>
      <c r="B28" t="s">
        <v>192</v>
      </c>
      <c r="C28" t="s">
        <v>36</v>
      </c>
      <c r="D28" t="s">
        <v>60</v>
      </c>
      <c r="E28" s="1">
        <v>46193</v>
      </c>
      <c r="F28" s="1">
        <v>46205</v>
      </c>
      <c r="G28" s="1">
        <v>46373</v>
      </c>
      <c r="H28" s="1">
        <v>46238</v>
      </c>
      <c r="I28" t="s">
        <v>117</v>
      </c>
      <c r="J28">
        <v>117000</v>
      </c>
      <c r="K28" t="s">
        <v>61</v>
      </c>
      <c r="L28" t="s">
        <v>62</v>
      </c>
      <c r="M28" t="s">
        <v>193</v>
      </c>
      <c r="N28" t="s">
        <v>194</v>
      </c>
      <c r="O28">
        <v>8047317810</v>
      </c>
      <c r="P28" s="1">
        <v>37485</v>
      </c>
      <c r="Q28" t="s">
        <v>43</v>
      </c>
      <c r="R28" t="s">
        <v>131</v>
      </c>
      <c r="S28" t="s">
        <v>95</v>
      </c>
      <c r="T28" t="s">
        <v>68</v>
      </c>
      <c r="U28" t="s">
        <v>120</v>
      </c>
      <c r="V28" s="1">
        <v>45894</v>
      </c>
      <c r="W28" t="s">
        <v>48</v>
      </c>
      <c r="X28" t="s">
        <v>49</v>
      </c>
      <c r="Y28" t="s">
        <v>50</v>
      </c>
      <c r="Z28">
        <v>24</v>
      </c>
      <c r="AA28">
        <v>350000</v>
      </c>
      <c r="AB28" t="s">
        <v>51</v>
      </c>
      <c r="AC28" t="s">
        <v>74</v>
      </c>
      <c r="AD28" t="s">
        <v>75</v>
      </c>
      <c r="AE28" t="s">
        <v>76</v>
      </c>
      <c r="AF28" t="s">
        <v>77</v>
      </c>
      <c r="AG28">
        <v>2021</v>
      </c>
      <c r="AH28" t="s">
        <v>140</v>
      </c>
    </row>
    <row r="29" spans="1:34">
      <c r="A29" t="s">
        <v>195</v>
      </c>
      <c r="B29" t="s">
        <v>158</v>
      </c>
      <c r="C29" t="s">
        <v>59</v>
      </c>
      <c r="D29" t="s">
        <v>37</v>
      </c>
      <c r="E29" s="1">
        <v>46058</v>
      </c>
      <c r="F29" s="1">
        <v>46066</v>
      </c>
      <c r="G29" s="1">
        <v>46206</v>
      </c>
      <c r="I29" t="s">
        <v>38</v>
      </c>
      <c r="J29">
        <v>76000</v>
      </c>
      <c r="K29" t="s">
        <v>124</v>
      </c>
      <c r="L29" t="s">
        <v>92</v>
      </c>
      <c r="M29" t="s">
        <v>159</v>
      </c>
      <c r="N29" t="s">
        <v>160</v>
      </c>
      <c r="O29">
        <v>9014586850</v>
      </c>
      <c r="P29" s="1">
        <v>33087</v>
      </c>
      <c r="Q29" t="s">
        <v>43</v>
      </c>
      <c r="R29" t="s">
        <v>44</v>
      </c>
      <c r="S29" t="s">
        <v>45</v>
      </c>
      <c r="T29" t="s">
        <v>146</v>
      </c>
      <c r="U29" t="s">
        <v>120</v>
      </c>
      <c r="V29" s="1">
        <v>46036</v>
      </c>
      <c r="W29" t="s">
        <v>70</v>
      </c>
      <c r="X29" t="s">
        <v>71</v>
      </c>
      <c r="Y29" t="s">
        <v>72</v>
      </c>
      <c r="Z29">
        <v>20</v>
      </c>
      <c r="AA29">
        <v>400000</v>
      </c>
      <c r="AB29" t="s">
        <v>73</v>
      </c>
      <c r="AC29" t="s">
        <v>52</v>
      </c>
      <c r="AD29" t="s">
        <v>53</v>
      </c>
      <c r="AE29" t="s">
        <v>54</v>
      </c>
      <c r="AF29" t="s">
        <v>55</v>
      </c>
      <c r="AG29">
        <v>2019</v>
      </c>
      <c r="AH29" t="s">
        <v>87</v>
      </c>
    </row>
    <row r="30" spans="1:34">
      <c r="A30" t="s">
        <v>196</v>
      </c>
      <c r="B30" t="s">
        <v>197</v>
      </c>
      <c r="C30" t="s">
        <v>36</v>
      </c>
      <c r="D30" t="s">
        <v>60</v>
      </c>
      <c r="E30" s="1">
        <v>45950</v>
      </c>
      <c r="F30" s="1">
        <v>45963</v>
      </c>
      <c r="G30" s="1">
        <v>46131</v>
      </c>
      <c r="H30" s="1">
        <v>45982</v>
      </c>
      <c r="I30" t="s">
        <v>80</v>
      </c>
      <c r="J30">
        <v>34000</v>
      </c>
      <c r="K30" t="s">
        <v>124</v>
      </c>
      <c r="L30" t="s">
        <v>134</v>
      </c>
      <c r="M30" t="s">
        <v>198</v>
      </c>
      <c r="N30" t="s">
        <v>199</v>
      </c>
      <c r="O30">
        <v>8069166978</v>
      </c>
      <c r="P30" s="1">
        <v>34202</v>
      </c>
      <c r="Q30" t="s">
        <v>43</v>
      </c>
      <c r="R30" t="s">
        <v>131</v>
      </c>
      <c r="S30" t="s">
        <v>95</v>
      </c>
      <c r="T30" t="s">
        <v>68</v>
      </c>
      <c r="U30" t="s">
        <v>69</v>
      </c>
      <c r="V30" s="1">
        <v>46091</v>
      </c>
      <c r="W30" t="s">
        <v>48</v>
      </c>
      <c r="X30" t="s">
        <v>49</v>
      </c>
      <c r="Y30" t="s">
        <v>50</v>
      </c>
      <c r="Z30">
        <v>24</v>
      </c>
      <c r="AA30">
        <v>350000</v>
      </c>
      <c r="AB30" t="s">
        <v>51</v>
      </c>
      <c r="AC30" t="s">
        <v>74</v>
      </c>
      <c r="AD30" t="s">
        <v>75</v>
      </c>
      <c r="AE30" t="s">
        <v>76</v>
      </c>
      <c r="AF30" t="s">
        <v>77</v>
      </c>
      <c r="AG30">
        <v>2021</v>
      </c>
      <c r="AH30" t="s">
        <v>167</v>
      </c>
    </row>
    <row r="31" spans="1:34">
      <c r="A31" t="s">
        <v>200</v>
      </c>
      <c r="B31" t="s">
        <v>201</v>
      </c>
      <c r="C31" t="s">
        <v>36</v>
      </c>
      <c r="D31" t="s">
        <v>37</v>
      </c>
      <c r="E31" s="1">
        <v>46093</v>
      </c>
      <c r="F31" s="1">
        <v>46101</v>
      </c>
      <c r="G31" s="1">
        <v>46269</v>
      </c>
      <c r="I31" t="s">
        <v>38</v>
      </c>
      <c r="J31">
        <v>115000</v>
      </c>
      <c r="K31" t="s">
        <v>61</v>
      </c>
      <c r="L31" t="s">
        <v>139</v>
      </c>
      <c r="M31" t="s">
        <v>202</v>
      </c>
      <c r="N31" t="s">
        <v>203</v>
      </c>
      <c r="O31">
        <v>8043098050</v>
      </c>
      <c r="P31" s="1">
        <v>32553</v>
      </c>
      <c r="Q31" t="s">
        <v>65</v>
      </c>
      <c r="R31" t="s">
        <v>44</v>
      </c>
      <c r="S31" t="s">
        <v>67</v>
      </c>
      <c r="T31" t="s">
        <v>68</v>
      </c>
      <c r="U31" t="s">
        <v>47</v>
      </c>
      <c r="V31" s="1">
        <v>46088</v>
      </c>
      <c r="W31" t="s">
        <v>48</v>
      </c>
      <c r="X31" t="s">
        <v>49</v>
      </c>
      <c r="Y31" t="s">
        <v>50</v>
      </c>
      <c r="Z31">
        <v>24</v>
      </c>
      <c r="AA31">
        <v>350000</v>
      </c>
      <c r="AB31" t="s">
        <v>51</v>
      </c>
      <c r="AC31" t="s">
        <v>52</v>
      </c>
      <c r="AD31" t="s">
        <v>53</v>
      </c>
      <c r="AE31" t="s">
        <v>54</v>
      </c>
      <c r="AF31" t="s">
        <v>55</v>
      </c>
      <c r="AG31">
        <v>2019</v>
      </c>
      <c r="AH31" t="s">
        <v>121</v>
      </c>
    </row>
    <row r="32" spans="1:34">
      <c r="A32" t="s">
        <v>204</v>
      </c>
      <c r="B32" t="s">
        <v>192</v>
      </c>
      <c r="C32" t="s">
        <v>59</v>
      </c>
      <c r="D32" t="s">
        <v>91</v>
      </c>
      <c r="E32" s="1">
        <v>45856</v>
      </c>
      <c r="F32" s="1">
        <v>45865</v>
      </c>
      <c r="G32" s="1">
        <v>46005</v>
      </c>
      <c r="H32" s="1">
        <v>45898</v>
      </c>
      <c r="I32" t="s">
        <v>80</v>
      </c>
      <c r="J32">
        <v>34000</v>
      </c>
      <c r="K32" t="s">
        <v>39</v>
      </c>
      <c r="L32" t="s">
        <v>40</v>
      </c>
      <c r="M32" t="s">
        <v>193</v>
      </c>
      <c r="N32" t="s">
        <v>194</v>
      </c>
      <c r="O32">
        <v>8047317810</v>
      </c>
      <c r="P32" s="1">
        <v>37485</v>
      </c>
      <c r="Q32" t="s">
        <v>43</v>
      </c>
      <c r="R32" t="s">
        <v>131</v>
      </c>
      <c r="S32" t="s">
        <v>95</v>
      </c>
      <c r="T32" t="s">
        <v>68</v>
      </c>
      <c r="U32" t="s">
        <v>120</v>
      </c>
      <c r="V32" s="1">
        <v>45894</v>
      </c>
      <c r="W32" t="s">
        <v>70</v>
      </c>
      <c r="X32" t="s">
        <v>71</v>
      </c>
      <c r="Y32" t="s">
        <v>72</v>
      </c>
      <c r="Z32">
        <v>20</v>
      </c>
      <c r="AA32">
        <v>400000</v>
      </c>
      <c r="AB32" t="s">
        <v>73</v>
      </c>
      <c r="AC32" t="s">
        <v>100</v>
      </c>
      <c r="AD32" t="s">
        <v>101</v>
      </c>
      <c r="AE32" t="s">
        <v>102</v>
      </c>
      <c r="AF32" t="s">
        <v>103</v>
      </c>
      <c r="AG32">
        <v>2020</v>
      </c>
      <c r="AH32" t="s">
        <v>152</v>
      </c>
    </row>
    <row r="33" spans="1:34">
      <c r="A33" t="s">
        <v>205</v>
      </c>
      <c r="B33" t="s">
        <v>186</v>
      </c>
      <c r="C33" t="s">
        <v>106</v>
      </c>
      <c r="D33" t="s">
        <v>37</v>
      </c>
      <c r="E33" s="1">
        <v>46092</v>
      </c>
      <c r="F33" s="1">
        <v>46105</v>
      </c>
      <c r="G33" s="1">
        <v>46217</v>
      </c>
      <c r="H33" s="1">
        <v>46154</v>
      </c>
      <c r="I33" t="s">
        <v>80</v>
      </c>
      <c r="J33">
        <v>30000</v>
      </c>
      <c r="K33" t="s">
        <v>61</v>
      </c>
      <c r="L33" t="s">
        <v>62</v>
      </c>
      <c r="M33" t="s">
        <v>187</v>
      </c>
      <c r="N33" t="s">
        <v>188</v>
      </c>
      <c r="O33">
        <v>7016566701</v>
      </c>
      <c r="P33" s="1">
        <v>32639</v>
      </c>
      <c r="Q33" t="s">
        <v>65</v>
      </c>
      <c r="R33" t="s">
        <v>66</v>
      </c>
      <c r="S33" t="s">
        <v>84</v>
      </c>
      <c r="T33" t="s">
        <v>85</v>
      </c>
      <c r="U33" t="s">
        <v>86</v>
      </c>
      <c r="V33" s="1">
        <v>46080</v>
      </c>
      <c r="W33" t="s">
        <v>111</v>
      </c>
      <c r="X33" t="s">
        <v>112</v>
      </c>
      <c r="Y33" t="s">
        <v>113</v>
      </c>
      <c r="Z33">
        <v>16</v>
      </c>
      <c r="AA33">
        <v>300000</v>
      </c>
      <c r="AB33" t="s">
        <v>114</v>
      </c>
      <c r="AC33" t="s">
        <v>52</v>
      </c>
      <c r="AD33" t="s">
        <v>53</v>
      </c>
      <c r="AE33" t="s">
        <v>54</v>
      </c>
      <c r="AF33" t="s">
        <v>55</v>
      </c>
      <c r="AG33">
        <v>2019</v>
      </c>
      <c r="AH33" t="s">
        <v>121</v>
      </c>
    </row>
    <row r="34" spans="1:34">
      <c r="A34" t="s">
        <v>206</v>
      </c>
      <c r="B34" t="s">
        <v>175</v>
      </c>
      <c r="C34" t="s">
        <v>36</v>
      </c>
      <c r="D34" t="s">
        <v>60</v>
      </c>
      <c r="E34" s="1">
        <v>45947</v>
      </c>
      <c r="F34" s="1">
        <v>45956</v>
      </c>
      <c r="G34" s="1">
        <v>46124</v>
      </c>
      <c r="H34" s="1">
        <v>46124</v>
      </c>
      <c r="I34" t="s">
        <v>117</v>
      </c>
      <c r="J34">
        <v>78000</v>
      </c>
      <c r="K34" t="s">
        <v>61</v>
      </c>
      <c r="L34" t="s">
        <v>92</v>
      </c>
      <c r="M34" t="s">
        <v>176</v>
      </c>
      <c r="N34" t="s">
        <v>177</v>
      </c>
      <c r="O34">
        <v>9034624751</v>
      </c>
      <c r="P34" s="1">
        <v>32219</v>
      </c>
      <c r="Q34" t="s">
        <v>43</v>
      </c>
      <c r="R34" t="s">
        <v>66</v>
      </c>
      <c r="S34" t="s">
        <v>95</v>
      </c>
      <c r="T34" t="s">
        <v>68</v>
      </c>
      <c r="U34" t="s">
        <v>86</v>
      </c>
      <c r="V34" s="1">
        <v>46056</v>
      </c>
      <c r="W34" t="s">
        <v>48</v>
      </c>
      <c r="X34" t="s">
        <v>49</v>
      </c>
      <c r="Y34" t="s">
        <v>50</v>
      </c>
      <c r="Z34">
        <v>24</v>
      </c>
      <c r="AA34">
        <v>350000</v>
      </c>
      <c r="AB34" t="s">
        <v>51</v>
      </c>
      <c r="AC34" t="s">
        <v>74</v>
      </c>
      <c r="AD34" t="s">
        <v>75</v>
      </c>
      <c r="AE34" t="s">
        <v>76</v>
      </c>
      <c r="AF34" t="s">
        <v>77</v>
      </c>
      <c r="AG34">
        <v>2021</v>
      </c>
      <c r="AH34" t="s">
        <v>167</v>
      </c>
    </row>
    <row r="35" spans="1:34">
      <c r="A35" t="s">
        <v>207</v>
      </c>
      <c r="B35" t="s">
        <v>154</v>
      </c>
      <c r="C35" t="s">
        <v>36</v>
      </c>
      <c r="D35" t="s">
        <v>60</v>
      </c>
      <c r="E35" s="1">
        <v>46199</v>
      </c>
      <c r="F35" s="1">
        <v>46206</v>
      </c>
      <c r="G35" s="1">
        <v>46374</v>
      </c>
      <c r="I35" t="s">
        <v>38</v>
      </c>
      <c r="J35">
        <v>122000</v>
      </c>
      <c r="K35" t="s">
        <v>61</v>
      </c>
      <c r="L35" t="s">
        <v>134</v>
      </c>
      <c r="M35" t="s">
        <v>155</v>
      </c>
      <c r="N35" t="s">
        <v>156</v>
      </c>
      <c r="O35">
        <v>9003056413</v>
      </c>
      <c r="P35" s="1">
        <v>36789</v>
      </c>
      <c r="Q35" t="s">
        <v>65</v>
      </c>
      <c r="R35" t="s">
        <v>44</v>
      </c>
      <c r="S35" t="s">
        <v>84</v>
      </c>
      <c r="T35" t="s">
        <v>110</v>
      </c>
      <c r="U35" t="s">
        <v>86</v>
      </c>
      <c r="V35" s="1">
        <v>46043</v>
      </c>
      <c r="W35" t="s">
        <v>48</v>
      </c>
      <c r="X35" t="s">
        <v>49</v>
      </c>
      <c r="Y35" t="s">
        <v>50</v>
      </c>
      <c r="Z35">
        <v>24</v>
      </c>
      <c r="AA35">
        <v>350000</v>
      </c>
      <c r="AB35" t="s">
        <v>51</v>
      </c>
      <c r="AC35" t="s">
        <v>74</v>
      </c>
      <c r="AD35" t="s">
        <v>75</v>
      </c>
      <c r="AE35" t="s">
        <v>76</v>
      </c>
      <c r="AF35" t="s">
        <v>77</v>
      </c>
      <c r="AG35">
        <v>2021</v>
      </c>
      <c r="AH35" t="s">
        <v>140</v>
      </c>
    </row>
    <row r="36" spans="1:34">
      <c r="A36" t="s">
        <v>208</v>
      </c>
      <c r="B36" t="s">
        <v>209</v>
      </c>
      <c r="C36" t="s">
        <v>36</v>
      </c>
      <c r="D36" t="s">
        <v>60</v>
      </c>
      <c r="E36" s="1">
        <v>46198</v>
      </c>
      <c r="F36" s="1">
        <v>46211</v>
      </c>
      <c r="G36" s="1">
        <v>46379</v>
      </c>
      <c r="H36" s="1">
        <v>46236</v>
      </c>
      <c r="I36" t="s">
        <v>210</v>
      </c>
      <c r="J36">
        <v>104000</v>
      </c>
      <c r="K36" t="s">
        <v>124</v>
      </c>
      <c r="L36" t="s">
        <v>139</v>
      </c>
      <c r="M36" t="s">
        <v>211</v>
      </c>
      <c r="N36" t="s">
        <v>212</v>
      </c>
      <c r="O36">
        <v>7058692322</v>
      </c>
      <c r="P36" s="1">
        <v>35520</v>
      </c>
      <c r="Q36" t="s">
        <v>43</v>
      </c>
      <c r="R36" t="s">
        <v>83</v>
      </c>
      <c r="S36" t="s">
        <v>67</v>
      </c>
      <c r="T36" t="s">
        <v>68</v>
      </c>
      <c r="U36" t="s">
        <v>86</v>
      </c>
      <c r="V36" s="1">
        <v>46151</v>
      </c>
      <c r="W36" t="s">
        <v>48</v>
      </c>
      <c r="X36" t="s">
        <v>49</v>
      </c>
      <c r="Y36" t="s">
        <v>50</v>
      </c>
      <c r="Z36">
        <v>24</v>
      </c>
      <c r="AA36">
        <v>350000</v>
      </c>
      <c r="AB36" t="s">
        <v>51</v>
      </c>
      <c r="AC36" t="s">
        <v>74</v>
      </c>
      <c r="AD36" t="s">
        <v>75</v>
      </c>
      <c r="AE36" t="s">
        <v>76</v>
      </c>
      <c r="AF36" t="s">
        <v>77</v>
      </c>
      <c r="AG36">
        <v>2021</v>
      </c>
      <c r="AH36" t="s">
        <v>140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4"/>
  <sheetViews>
    <sheetView showGridLines="0" tabSelected="1" zoomScaleNormal="100" workbookViewId="0">
      <selection activeCell="R41" sqref="R41"/>
    </sheetView>
  </sheetViews>
  <sheetFormatPr defaultRowHeight="14.5"/>
  <cols>
    <col min="1" max="14" width="12.6328125" style="6" customWidth="1"/>
    <col min="15" max="16384" width="8.7265625" style="6"/>
  </cols>
  <sheetData>
    <row r="1" spans="1:16">
      <c r="A1" s="43" t="s">
        <v>285</v>
      </c>
      <c r="B1" s="43"/>
      <c r="C1" s="43"/>
      <c r="D1" s="43"/>
      <c r="E1" s="43"/>
      <c r="F1" s="43"/>
      <c r="G1" s="43"/>
      <c r="H1" s="43"/>
      <c r="I1" s="43"/>
      <c r="J1" s="43"/>
      <c r="K1" s="43"/>
      <c r="L1" s="43"/>
      <c r="M1" s="43"/>
      <c r="N1" s="43"/>
      <c r="O1" s="5"/>
      <c r="P1" s="5"/>
    </row>
    <row r="2" spans="1:16" ht="26" customHeight="1">
      <c r="A2" s="43"/>
      <c r="B2" s="43"/>
      <c r="C2" s="43"/>
      <c r="D2" s="43"/>
      <c r="E2" s="43"/>
      <c r="F2" s="43"/>
      <c r="G2" s="43"/>
      <c r="H2" s="43"/>
      <c r="I2" s="43"/>
      <c r="J2" s="43"/>
      <c r="K2" s="43"/>
      <c r="L2" s="43"/>
      <c r="M2" s="43"/>
      <c r="N2" s="43"/>
      <c r="O2" s="5"/>
      <c r="P2" s="5"/>
    </row>
    <row r="3" spans="1:16">
      <c r="A3" s="45" t="s">
        <v>286</v>
      </c>
      <c r="B3" s="45"/>
      <c r="C3" s="45"/>
      <c r="D3" s="45"/>
      <c r="E3" s="45"/>
      <c r="F3" s="45"/>
      <c r="G3" s="45"/>
      <c r="H3" s="45"/>
      <c r="I3" s="45"/>
      <c r="J3" s="45"/>
      <c r="K3" s="45"/>
      <c r="L3" s="45"/>
      <c r="M3" s="45"/>
      <c r="N3" s="45"/>
      <c r="O3" s="5"/>
      <c r="P3" s="5"/>
    </row>
    <row r="4" spans="1:16">
      <c r="A4" s="8"/>
      <c r="B4" s="8"/>
      <c r="C4" s="8"/>
      <c r="D4" s="8"/>
      <c r="E4" s="8"/>
      <c r="F4" s="8"/>
      <c r="G4" s="8"/>
      <c r="H4" s="8"/>
      <c r="I4" s="8"/>
      <c r="J4" s="8"/>
      <c r="K4" s="8"/>
      <c r="L4" s="8"/>
      <c r="M4" s="8"/>
      <c r="N4" s="8"/>
      <c r="O4" s="5"/>
      <c r="P4" s="5"/>
    </row>
    <row r="5" spans="1:16">
      <c r="A5" s="8"/>
      <c r="B5" s="8"/>
      <c r="C5" s="8"/>
      <c r="D5" s="8"/>
      <c r="E5" s="8"/>
      <c r="F5" s="8"/>
      <c r="G5" s="8"/>
      <c r="H5" s="8"/>
      <c r="I5" s="8"/>
      <c r="J5" s="8"/>
      <c r="K5" s="8"/>
      <c r="L5" s="8"/>
      <c r="M5" s="8"/>
      <c r="N5" s="8"/>
      <c r="O5" s="5"/>
      <c r="P5" s="5"/>
    </row>
    <row r="6" spans="1:16">
      <c r="A6" s="8"/>
      <c r="B6" s="8"/>
      <c r="C6" s="8"/>
      <c r="D6" s="8"/>
      <c r="E6" s="8"/>
      <c r="F6" s="8"/>
      <c r="G6" s="8"/>
      <c r="H6" s="8"/>
      <c r="I6" s="8"/>
      <c r="J6" s="8"/>
      <c r="K6" s="8"/>
      <c r="L6" s="8"/>
      <c r="M6" s="8"/>
      <c r="N6" s="8"/>
      <c r="O6" s="5"/>
      <c r="P6" s="5"/>
    </row>
    <row r="7" spans="1:16">
      <c r="A7" s="8"/>
      <c r="B7" s="8"/>
      <c r="C7" s="8"/>
      <c r="D7" s="8"/>
      <c r="E7" s="8"/>
      <c r="F7" s="8"/>
      <c r="G7" s="8"/>
      <c r="H7" s="8"/>
      <c r="I7" s="8"/>
      <c r="J7" s="8"/>
      <c r="K7" s="8"/>
      <c r="L7" s="8"/>
      <c r="M7" s="8"/>
      <c r="N7" s="8"/>
      <c r="O7" s="5"/>
      <c r="P7" s="5"/>
    </row>
    <row r="8" spans="1:16">
      <c r="A8" s="8"/>
      <c r="B8" s="8"/>
      <c r="C8" s="8"/>
      <c r="D8" s="8"/>
      <c r="E8" s="8"/>
      <c r="F8" s="8"/>
      <c r="G8" s="8"/>
      <c r="H8" s="8"/>
      <c r="I8" s="8"/>
      <c r="J8" s="8"/>
      <c r="K8" s="8"/>
      <c r="L8" s="8"/>
      <c r="M8" s="8"/>
      <c r="N8" s="8"/>
      <c r="O8" s="5"/>
      <c r="P8" s="5"/>
    </row>
    <row r="9" spans="1:16">
      <c r="A9" s="8"/>
      <c r="B9" s="8"/>
      <c r="C9" s="8"/>
      <c r="D9" s="8"/>
      <c r="E9" s="8"/>
      <c r="F9" s="8"/>
      <c r="G9" s="8"/>
      <c r="H9" s="8"/>
      <c r="I9" s="8"/>
      <c r="J9" s="8"/>
      <c r="K9" s="8"/>
      <c r="L9" s="8"/>
      <c r="M9" s="8"/>
      <c r="N9" s="8"/>
      <c r="O9" s="5"/>
      <c r="P9" s="5"/>
    </row>
    <row r="10" spans="1:16">
      <c r="A10" s="9" t="s">
        <v>293</v>
      </c>
      <c r="B10" s="10"/>
      <c r="C10" s="11"/>
      <c r="D10" s="9" t="s">
        <v>294</v>
      </c>
      <c r="E10" s="10"/>
      <c r="F10" s="11"/>
      <c r="G10" s="9" t="s">
        <v>295</v>
      </c>
      <c r="H10" s="10"/>
      <c r="I10" s="11"/>
      <c r="J10" s="9" t="s">
        <v>296</v>
      </c>
      <c r="K10" s="10"/>
      <c r="L10" s="11"/>
      <c r="M10" s="9" t="s">
        <v>297</v>
      </c>
      <c r="N10" s="11"/>
      <c r="O10" s="5"/>
      <c r="P10" s="5"/>
    </row>
    <row r="11" spans="1:16">
      <c r="A11" s="12">
        <f>KPI_Data!B3</f>
        <v>35</v>
      </c>
      <c r="B11" s="13"/>
      <c r="C11" s="14"/>
      <c r="D11" s="12">
        <f>KPI_Data!B4</f>
        <v>22</v>
      </c>
      <c r="E11" s="13"/>
      <c r="F11" s="14"/>
      <c r="G11" s="12">
        <f>KPI_Data!B5</f>
        <v>16</v>
      </c>
      <c r="H11" s="13"/>
      <c r="I11" s="14"/>
      <c r="J11" s="12">
        <f>KPI_Data!B6</f>
        <v>9</v>
      </c>
      <c r="K11" s="13"/>
      <c r="L11" s="14"/>
      <c r="M11" s="12">
        <f>KPI_Data!B7</f>
        <v>9</v>
      </c>
      <c r="N11" s="14"/>
      <c r="O11" s="5"/>
      <c r="P11" s="5"/>
    </row>
    <row r="12" spans="1:16">
      <c r="A12" s="15"/>
      <c r="B12" s="16"/>
      <c r="C12" s="17"/>
      <c r="D12" s="15"/>
      <c r="E12" s="16"/>
      <c r="F12" s="17"/>
      <c r="G12" s="15"/>
      <c r="H12" s="16"/>
      <c r="I12" s="17"/>
      <c r="J12" s="15"/>
      <c r="K12" s="16"/>
      <c r="L12" s="17"/>
      <c r="M12" s="15"/>
      <c r="N12" s="17"/>
      <c r="O12" s="5"/>
      <c r="P12" s="5"/>
    </row>
    <row r="13" spans="1:16">
      <c r="A13" s="18"/>
      <c r="B13" s="19"/>
      <c r="C13" s="20"/>
      <c r="D13" s="18"/>
      <c r="E13" s="19"/>
      <c r="F13" s="20"/>
      <c r="G13" s="18"/>
      <c r="H13" s="19"/>
      <c r="I13" s="20"/>
      <c r="J13" s="18"/>
      <c r="K13" s="19"/>
      <c r="L13" s="20"/>
      <c r="M13" s="18"/>
      <c r="N13" s="20"/>
      <c r="O13" s="5"/>
      <c r="P13" s="5"/>
    </row>
    <row r="14" spans="1:16" ht="23.5">
      <c r="A14" s="21"/>
      <c r="B14" s="21"/>
      <c r="C14" s="21"/>
      <c r="D14" s="21"/>
      <c r="E14" s="21"/>
      <c r="F14" s="21"/>
      <c r="G14" s="21"/>
      <c r="H14" s="21"/>
      <c r="I14" s="21"/>
      <c r="J14" s="21"/>
      <c r="K14" s="21"/>
      <c r="L14" s="21"/>
      <c r="M14" s="21"/>
      <c r="N14" s="21"/>
      <c r="O14" s="5"/>
      <c r="P14" s="5"/>
    </row>
    <row r="15" spans="1:16">
      <c r="A15" s="44" t="s">
        <v>302</v>
      </c>
      <c r="B15" s="44"/>
      <c r="C15" s="23"/>
      <c r="D15" s="23"/>
      <c r="E15" s="23"/>
      <c r="F15" s="23"/>
      <c r="G15" s="23"/>
      <c r="H15" s="23"/>
      <c r="I15" s="23"/>
      <c r="J15" s="23"/>
      <c r="K15" s="23"/>
      <c r="L15" s="23"/>
      <c r="M15" s="23"/>
      <c r="N15" s="23"/>
      <c r="O15" s="7"/>
      <c r="P15" s="5"/>
    </row>
    <row r="16" spans="1:16">
      <c r="A16" s="23"/>
      <c r="B16" s="23"/>
      <c r="C16" s="23"/>
      <c r="D16" s="23"/>
      <c r="E16" s="23"/>
      <c r="F16" s="23"/>
      <c r="G16" s="23"/>
      <c r="H16" s="23"/>
      <c r="I16" s="23"/>
      <c r="J16" s="23"/>
      <c r="K16" s="23"/>
      <c r="L16" s="23"/>
      <c r="M16" s="23"/>
      <c r="N16" s="23"/>
      <c r="O16" s="7"/>
      <c r="P16" s="5"/>
    </row>
    <row r="17" spans="1:16">
      <c r="A17" s="23"/>
      <c r="B17" s="23"/>
      <c r="C17" s="23"/>
      <c r="D17" s="23"/>
      <c r="E17" s="23"/>
      <c r="F17" s="23"/>
      <c r="G17" s="23"/>
      <c r="H17" s="23"/>
      <c r="I17" s="23"/>
      <c r="J17" s="23"/>
      <c r="K17" s="23"/>
      <c r="L17" s="23"/>
      <c r="M17" s="23"/>
      <c r="N17" s="23"/>
      <c r="O17" s="7"/>
      <c r="P17" s="5"/>
    </row>
    <row r="18" spans="1:16">
      <c r="A18" s="23"/>
      <c r="B18" s="23"/>
      <c r="C18" s="23"/>
      <c r="D18" s="23"/>
      <c r="E18" s="23"/>
      <c r="F18" s="23"/>
      <c r="G18" s="23"/>
      <c r="H18" s="23"/>
      <c r="I18" s="23"/>
      <c r="J18" s="23"/>
      <c r="K18" s="23"/>
      <c r="L18" s="23"/>
      <c r="M18" s="23"/>
      <c r="N18" s="23"/>
      <c r="O18" s="7"/>
      <c r="P18" s="5"/>
    </row>
    <row r="19" spans="1:16">
      <c r="A19" s="23"/>
      <c r="B19" s="23"/>
      <c r="C19" s="23"/>
      <c r="D19" s="23"/>
      <c r="E19" s="23"/>
      <c r="F19" s="23"/>
      <c r="G19" s="23"/>
      <c r="H19" s="23"/>
      <c r="I19" s="23"/>
      <c r="J19" s="23"/>
      <c r="K19" s="23"/>
      <c r="L19" s="23"/>
      <c r="M19" s="23"/>
      <c r="N19" s="23"/>
      <c r="O19" s="7"/>
      <c r="P19" s="5"/>
    </row>
    <row r="20" spans="1:16">
      <c r="A20" s="23"/>
      <c r="B20" s="23"/>
      <c r="C20" s="23"/>
      <c r="D20" s="23"/>
      <c r="E20" s="23"/>
      <c r="F20" s="23"/>
      <c r="G20" s="23"/>
      <c r="H20" s="23"/>
      <c r="I20" s="23"/>
      <c r="J20" s="23"/>
      <c r="K20" s="23"/>
      <c r="L20" s="23"/>
      <c r="M20" s="23"/>
      <c r="N20" s="23"/>
      <c r="O20" s="7"/>
      <c r="P20" s="5"/>
    </row>
    <row r="21" spans="1:16">
      <c r="A21" s="23"/>
      <c r="B21" s="23"/>
      <c r="C21" s="23"/>
      <c r="D21" s="23"/>
      <c r="E21" s="23"/>
      <c r="F21" s="23"/>
      <c r="G21" s="23"/>
      <c r="H21" s="23"/>
      <c r="I21" s="23"/>
      <c r="J21" s="23"/>
      <c r="K21" s="23"/>
      <c r="L21" s="23"/>
      <c r="M21" s="23"/>
      <c r="N21" s="23"/>
      <c r="O21" s="7"/>
      <c r="P21" s="5"/>
    </row>
    <row r="22" spans="1:16">
      <c r="A22" s="23"/>
      <c r="B22" s="23"/>
      <c r="C22" s="23"/>
      <c r="D22" s="23"/>
      <c r="E22" s="23"/>
      <c r="F22" s="23"/>
      <c r="G22" s="23"/>
      <c r="H22" s="23"/>
      <c r="I22" s="23"/>
      <c r="J22" s="23"/>
      <c r="K22" s="23"/>
      <c r="L22" s="23"/>
      <c r="M22" s="23"/>
      <c r="N22" s="23"/>
      <c r="O22" s="7"/>
      <c r="P22" s="5"/>
    </row>
    <row r="23" spans="1:16">
      <c r="A23" s="23"/>
      <c r="B23" s="23"/>
      <c r="C23" s="23"/>
      <c r="D23" s="23"/>
      <c r="E23" s="23"/>
      <c r="F23" s="23"/>
      <c r="G23" s="23"/>
      <c r="H23" s="23"/>
      <c r="I23" s="23"/>
      <c r="J23" s="23"/>
      <c r="K23" s="23"/>
      <c r="L23" s="23"/>
      <c r="M23" s="23"/>
      <c r="N23" s="23"/>
      <c r="O23" s="7"/>
      <c r="P23" s="5"/>
    </row>
    <row r="24" spans="1:16">
      <c r="A24" s="23"/>
      <c r="B24" s="23"/>
      <c r="C24" s="23"/>
      <c r="D24" s="23"/>
      <c r="E24" s="23"/>
      <c r="F24" s="23"/>
      <c r="G24" s="23"/>
      <c r="H24" s="23"/>
      <c r="I24" s="23"/>
      <c r="J24" s="23"/>
      <c r="K24" s="23"/>
      <c r="L24" s="23"/>
      <c r="M24" s="23"/>
      <c r="N24" s="23"/>
      <c r="O24" s="7"/>
      <c r="P24" s="5"/>
    </row>
    <row r="25" spans="1:16">
      <c r="A25" s="23"/>
      <c r="B25" s="23"/>
      <c r="C25" s="23"/>
      <c r="D25" s="23"/>
      <c r="E25" s="23"/>
      <c r="F25" s="23"/>
      <c r="G25" s="23"/>
      <c r="H25" s="23"/>
      <c r="I25" s="23"/>
      <c r="J25" s="23"/>
      <c r="K25" s="23"/>
      <c r="L25" s="23"/>
      <c r="M25" s="23"/>
      <c r="N25" s="23"/>
      <c r="O25" s="7"/>
      <c r="P25" s="5"/>
    </row>
    <row r="26" spans="1:16">
      <c r="A26" s="23"/>
      <c r="B26" s="23"/>
      <c r="C26" s="23"/>
      <c r="D26" s="23"/>
      <c r="E26" s="23"/>
      <c r="F26" s="23"/>
      <c r="G26" s="23"/>
      <c r="H26" s="23"/>
      <c r="I26" s="23"/>
      <c r="J26" s="23"/>
      <c r="K26" s="23"/>
      <c r="L26" s="23"/>
      <c r="M26" s="23"/>
      <c r="N26" s="23"/>
      <c r="O26" s="7"/>
      <c r="P26" s="5"/>
    </row>
    <row r="27" spans="1:16">
      <c r="A27" s="44" t="s">
        <v>303</v>
      </c>
      <c r="B27" s="44"/>
      <c r="C27" s="23"/>
      <c r="D27" s="23"/>
      <c r="E27" s="23"/>
      <c r="F27" s="23"/>
      <c r="G27" s="23"/>
      <c r="H27" s="23"/>
      <c r="I27" s="23"/>
      <c r="J27" s="23"/>
      <c r="K27" s="23"/>
      <c r="L27" s="23"/>
      <c r="M27" s="23"/>
      <c r="N27" s="23"/>
      <c r="O27" s="7"/>
      <c r="P27" s="5"/>
    </row>
    <row r="28" spans="1:16">
      <c r="A28" s="23"/>
      <c r="B28" s="23"/>
      <c r="C28" s="23"/>
      <c r="D28" s="23"/>
      <c r="E28" s="23"/>
      <c r="F28" s="23"/>
      <c r="G28" s="23"/>
      <c r="H28" s="23"/>
      <c r="I28" s="23"/>
      <c r="J28" s="23"/>
      <c r="K28" s="23"/>
      <c r="L28" s="23"/>
      <c r="M28" s="23"/>
      <c r="N28" s="23"/>
      <c r="O28" s="7"/>
      <c r="P28" s="5"/>
    </row>
    <row r="29" spans="1:16">
      <c r="A29" s="23"/>
      <c r="B29" s="23"/>
      <c r="C29" s="23"/>
      <c r="D29" s="23"/>
      <c r="E29" s="23"/>
      <c r="F29" s="23"/>
      <c r="G29" s="23"/>
      <c r="H29" s="23"/>
      <c r="I29" s="23"/>
      <c r="J29" s="23"/>
      <c r="K29" s="23"/>
      <c r="L29" s="23"/>
      <c r="M29" s="23"/>
      <c r="N29" s="23"/>
      <c r="O29" s="7"/>
      <c r="P29" s="5"/>
    </row>
    <row r="30" spans="1:16">
      <c r="A30" s="23"/>
      <c r="B30" s="23"/>
      <c r="C30" s="23"/>
      <c r="D30" s="23"/>
      <c r="E30" s="23"/>
      <c r="F30" s="23"/>
      <c r="G30" s="23"/>
      <c r="H30" s="23"/>
      <c r="I30" s="23"/>
      <c r="J30" s="23"/>
      <c r="K30" s="23"/>
      <c r="L30" s="23"/>
      <c r="M30" s="23"/>
      <c r="N30" s="23"/>
      <c r="O30" s="7"/>
      <c r="P30" s="5"/>
    </row>
    <row r="31" spans="1:16">
      <c r="A31" s="23"/>
      <c r="B31" s="23"/>
      <c r="C31" s="23"/>
      <c r="D31" s="23"/>
      <c r="E31" s="23"/>
      <c r="F31" s="23"/>
      <c r="G31" s="23"/>
      <c r="H31" s="23"/>
      <c r="I31" s="23"/>
      <c r="J31" s="23"/>
      <c r="K31" s="23"/>
      <c r="L31" s="23"/>
      <c r="M31" s="23"/>
      <c r="N31" s="23"/>
      <c r="O31" s="7"/>
      <c r="P31" s="5"/>
    </row>
    <row r="32" spans="1:16">
      <c r="A32" s="23"/>
      <c r="B32" s="23"/>
      <c r="C32" s="23"/>
      <c r="D32" s="23"/>
      <c r="E32" s="23"/>
      <c r="F32" s="23"/>
      <c r="G32" s="23"/>
      <c r="H32" s="23"/>
      <c r="I32" s="23"/>
      <c r="J32" s="23"/>
      <c r="K32" s="23"/>
      <c r="L32" s="23"/>
      <c r="M32" s="23"/>
      <c r="N32" s="23"/>
      <c r="O32" s="7"/>
      <c r="P32" s="5"/>
    </row>
    <row r="33" spans="1:16">
      <c r="A33" s="23"/>
      <c r="B33" s="23"/>
      <c r="C33" s="23"/>
      <c r="D33" s="23"/>
      <c r="E33" s="23"/>
      <c r="F33" s="23"/>
      <c r="G33" s="23"/>
      <c r="H33" s="23"/>
      <c r="I33" s="23"/>
      <c r="J33" s="23"/>
      <c r="K33" s="23"/>
      <c r="L33" s="23"/>
      <c r="M33" s="23"/>
      <c r="N33" s="23"/>
      <c r="O33" s="7"/>
      <c r="P33" s="5"/>
    </row>
    <row r="34" spans="1:16">
      <c r="A34" s="23"/>
      <c r="B34" s="23"/>
      <c r="C34" s="23"/>
      <c r="D34" s="23"/>
      <c r="E34" s="23"/>
      <c r="F34" s="23"/>
      <c r="G34" s="23"/>
      <c r="H34" s="23"/>
      <c r="I34" s="23"/>
      <c r="J34" s="23"/>
      <c r="K34" s="23"/>
      <c r="L34" s="23"/>
      <c r="M34" s="23"/>
      <c r="N34" s="23"/>
      <c r="O34" s="7"/>
      <c r="P34" s="5"/>
    </row>
    <row r="35" spans="1:16">
      <c r="A35" s="23"/>
      <c r="B35" s="23"/>
      <c r="C35" s="23"/>
      <c r="D35" s="23"/>
      <c r="E35" s="23"/>
      <c r="F35" s="23"/>
      <c r="G35" s="23"/>
      <c r="H35" s="23"/>
      <c r="I35" s="23"/>
      <c r="J35" s="23"/>
      <c r="K35" s="23"/>
      <c r="L35" s="23"/>
      <c r="M35" s="23"/>
      <c r="N35" s="23"/>
      <c r="O35" s="7"/>
      <c r="P35" s="5"/>
    </row>
    <row r="36" spans="1:16">
      <c r="A36" s="23"/>
      <c r="B36" s="23"/>
      <c r="C36" s="23"/>
      <c r="D36" s="23"/>
      <c r="E36" s="23"/>
      <c r="F36" s="23"/>
      <c r="G36" s="23"/>
      <c r="H36" s="23"/>
      <c r="I36" s="23"/>
      <c r="J36" s="23"/>
      <c r="K36" s="23"/>
      <c r="L36" s="23"/>
      <c r="M36" s="23"/>
      <c r="N36" s="23"/>
      <c r="O36" s="7"/>
      <c r="P36" s="5"/>
    </row>
    <row r="37" spans="1:16">
      <c r="A37" s="23"/>
      <c r="B37" s="23"/>
      <c r="C37" s="23"/>
      <c r="D37" s="23"/>
      <c r="E37" s="23"/>
      <c r="F37" s="23"/>
      <c r="G37" s="23"/>
      <c r="H37" s="23"/>
      <c r="I37" s="23"/>
      <c r="J37" s="23"/>
      <c r="K37" s="23"/>
      <c r="L37" s="23"/>
      <c r="M37" s="23"/>
      <c r="N37" s="23"/>
      <c r="O37" s="7"/>
      <c r="P37" s="5"/>
    </row>
    <row r="38" spans="1:16">
      <c r="A38" s="23"/>
      <c r="B38" s="23"/>
      <c r="C38" s="23"/>
      <c r="D38" s="23"/>
      <c r="E38" s="23"/>
      <c r="F38" s="23"/>
      <c r="G38" s="23"/>
      <c r="H38" s="23"/>
      <c r="I38" s="23"/>
      <c r="J38" s="23"/>
      <c r="K38" s="23"/>
      <c r="L38" s="23"/>
      <c r="M38" s="23"/>
      <c r="N38" s="23"/>
      <c r="O38" s="7"/>
      <c r="P38" s="5"/>
    </row>
    <row r="39" spans="1:16">
      <c r="A39" s="23"/>
      <c r="B39" s="23"/>
      <c r="C39" s="23"/>
      <c r="D39" s="23"/>
      <c r="E39" s="23"/>
      <c r="F39" s="23"/>
      <c r="G39" s="23"/>
      <c r="H39" s="23"/>
      <c r="I39" s="23"/>
      <c r="J39" s="23"/>
      <c r="K39" s="23"/>
      <c r="L39" s="23"/>
      <c r="M39" s="23"/>
      <c r="N39" s="23"/>
      <c r="O39" s="7"/>
      <c r="P39" s="5"/>
    </row>
    <row r="40" spans="1:16">
      <c r="A40" s="44" t="s">
        <v>304</v>
      </c>
      <c r="B40" s="44"/>
      <c r="C40" s="23"/>
      <c r="D40" s="23"/>
      <c r="E40" s="23"/>
      <c r="F40" s="23"/>
      <c r="G40" s="23"/>
      <c r="H40" s="23"/>
      <c r="I40" s="23"/>
      <c r="J40" s="23"/>
      <c r="K40" s="23"/>
      <c r="L40" s="23"/>
      <c r="M40" s="23"/>
      <c r="N40" s="23"/>
      <c r="O40" s="7"/>
      <c r="P40" s="5"/>
    </row>
    <row r="41" spans="1:16">
      <c r="A41" s="23"/>
      <c r="B41" s="23"/>
      <c r="C41" s="23"/>
      <c r="D41" s="23"/>
      <c r="E41" s="23"/>
      <c r="F41" s="23"/>
      <c r="G41" s="23"/>
      <c r="H41" s="23"/>
      <c r="I41" s="23"/>
      <c r="J41" s="23"/>
      <c r="K41" s="23"/>
      <c r="L41" s="23"/>
      <c r="M41" s="23"/>
      <c r="N41" s="23"/>
      <c r="O41" s="7"/>
      <c r="P41" s="5"/>
    </row>
    <row r="42" spans="1:16">
      <c r="A42" s="23"/>
      <c r="B42" s="23"/>
      <c r="C42" s="23"/>
      <c r="D42" s="23"/>
      <c r="E42" s="23"/>
      <c r="F42" s="23"/>
      <c r="G42" s="23"/>
      <c r="H42" s="23"/>
      <c r="I42" s="23"/>
      <c r="J42" s="23"/>
      <c r="K42" s="23"/>
      <c r="L42" s="23"/>
      <c r="M42" s="23"/>
      <c r="N42" s="23"/>
      <c r="O42" s="7"/>
      <c r="P42" s="5"/>
    </row>
    <row r="43" spans="1:16">
      <c r="A43" s="23"/>
      <c r="B43" s="23"/>
      <c r="C43" s="23"/>
      <c r="D43" s="23"/>
      <c r="E43" s="23"/>
      <c r="F43" s="23"/>
      <c r="G43" s="23"/>
      <c r="H43" s="23"/>
      <c r="I43" s="23"/>
      <c r="J43" s="23"/>
      <c r="K43" s="23"/>
      <c r="L43" s="23"/>
      <c r="M43" s="23"/>
      <c r="N43" s="23"/>
      <c r="O43" s="7"/>
      <c r="P43" s="5"/>
    </row>
    <row r="44" spans="1:16">
      <c r="A44" s="23"/>
      <c r="B44" s="23"/>
      <c r="C44" s="23"/>
      <c r="D44" s="23"/>
      <c r="E44" s="23"/>
      <c r="F44" s="23"/>
      <c r="G44" s="23"/>
      <c r="H44" s="23"/>
      <c r="I44" s="23"/>
      <c r="J44" s="23"/>
      <c r="K44" s="23"/>
      <c r="L44" s="23"/>
      <c r="M44" s="23"/>
      <c r="N44" s="23"/>
      <c r="O44" s="7"/>
      <c r="P44" s="5"/>
    </row>
    <row r="45" spans="1:16">
      <c r="A45" s="23"/>
      <c r="B45" s="23"/>
      <c r="C45" s="23"/>
      <c r="D45" s="23"/>
      <c r="E45" s="23"/>
      <c r="F45" s="23"/>
      <c r="G45" s="23"/>
      <c r="H45" s="23"/>
      <c r="I45" s="23"/>
      <c r="J45" s="23"/>
      <c r="K45" s="23"/>
      <c r="L45" s="23"/>
      <c r="M45" s="23"/>
      <c r="N45" s="23"/>
      <c r="O45" s="7"/>
      <c r="P45" s="5"/>
    </row>
    <row r="46" spans="1:16">
      <c r="A46" s="23"/>
      <c r="B46" s="23"/>
      <c r="C46" s="23"/>
      <c r="D46" s="23"/>
      <c r="E46" s="23"/>
      <c r="F46" s="23"/>
      <c r="G46" s="23"/>
      <c r="H46" s="23"/>
      <c r="I46" s="23"/>
      <c r="J46" s="23"/>
      <c r="K46" s="23"/>
      <c r="L46" s="23"/>
      <c r="M46" s="23"/>
      <c r="N46" s="23"/>
      <c r="O46" s="7"/>
      <c r="P46" s="5"/>
    </row>
    <row r="47" spans="1:16">
      <c r="A47" s="23"/>
      <c r="B47" s="23"/>
      <c r="C47" s="23"/>
      <c r="D47" s="23"/>
      <c r="E47" s="23"/>
      <c r="F47" s="23"/>
      <c r="G47" s="23"/>
      <c r="H47" s="23"/>
      <c r="I47" s="23"/>
      <c r="J47" s="23"/>
      <c r="K47" s="23"/>
      <c r="L47" s="23"/>
      <c r="M47" s="23"/>
      <c r="N47" s="23"/>
      <c r="O47" s="7"/>
      <c r="P47" s="5"/>
    </row>
    <row r="48" spans="1:16">
      <c r="A48" s="23"/>
      <c r="B48" s="23"/>
      <c r="C48" s="23"/>
      <c r="D48" s="23"/>
      <c r="E48" s="23"/>
      <c r="F48" s="23"/>
      <c r="G48" s="23"/>
      <c r="H48" s="23"/>
      <c r="I48" s="23"/>
      <c r="J48" s="23"/>
      <c r="K48" s="23"/>
      <c r="L48" s="23"/>
      <c r="M48" s="23"/>
      <c r="N48" s="23"/>
      <c r="O48" s="7"/>
      <c r="P48" s="5"/>
    </row>
    <row r="49" spans="1:16">
      <c r="A49" s="23"/>
      <c r="B49" s="23"/>
      <c r="C49" s="23"/>
      <c r="D49" s="23"/>
      <c r="E49" s="23"/>
      <c r="F49" s="23"/>
      <c r="G49" s="23"/>
      <c r="H49" s="23"/>
      <c r="I49" s="23"/>
      <c r="J49" s="23"/>
      <c r="K49" s="23"/>
      <c r="L49" s="23"/>
      <c r="M49" s="23"/>
      <c r="N49" s="23"/>
      <c r="O49" s="7"/>
      <c r="P49" s="5"/>
    </row>
    <row r="50" spans="1:16">
      <c r="A50" s="23"/>
      <c r="B50" s="23"/>
      <c r="C50" s="23"/>
      <c r="D50" s="23"/>
      <c r="E50" s="23"/>
      <c r="F50" s="23"/>
      <c r="G50" s="23"/>
      <c r="H50" s="23"/>
      <c r="I50" s="23"/>
      <c r="J50" s="23"/>
      <c r="K50" s="23"/>
      <c r="L50" s="23"/>
      <c r="M50" s="23"/>
      <c r="N50" s="23"/>
      <c r="O50" s="7"/>
      <c r="P50" s="5"/>
    </row>
    <row r="51" spans="1:16">
      <c r="A51" s="23"/>
      <c r="B51" s="23"/>
      <c r="C51" s="23"/>
      <c r="D51" s="23"/>
      <c r="E51" s="23"/>
      <c r="F51" s="23"/>
      <c r="G51" s="23"/>
      <c r="H51" s="23"/>
      <c r="I51" s="23"/>
      <c r="J51" s="23"/>
      <c r="K51" s="23"/>
      <c r="L51" s="23"/>
      <c r="M51" s="23"/>
      <c r="N51" s="23"/>
      <c r="O51" s="7"/>
      <c r="P51" s="5"/>
    </row>
    <row r="52" spans="1:16">
      <c r="A52" s="23"/>
      <c r="B52" s="23"/>
      <c r="C52" s="23"/>
      <c r="D52" s="23"/>
      <c r="E52" s="23"/>
      <c r="F52" s="23"/>
      <c r="G52" s="23"/>
      <c r="H52" s="23"/>
      <c r="I52" s="23"/>
      <c r="J52" s="23"/>
      <c r="K52" s="23"/>
      <c r="L52" s="23"/>
      <c r="M52" s="23"/>
      <c r="N52" s="23"/>
      <c r="O52" s="7"/>
      <c r="P52" s="5"/>
    </row>
    <row r="53" spans="1:16">
      <c r="A53" s="46" t="s">
        <v>305</v>
      </c>
      <c r="B53" s="46"/>
      <c r="C53" s="23"/>
      <c r="D53" s="23"/>
      <c r="E53" s="23"/>
      <c r="F53" s="23"/>
      <c r="G53" s="23"/>
      <c r="H53" s="23"/>
      <c r="I53" s="23"/>
      <c r="J53" s="23"/>
      <c r="K53" s="23"/>
      <c r="L53" s="23"/>
      <c r="M53" s="23"/>
      <c r="N53" s="23"/>
      <c r="O53" s="7"/>
      <c r="P53" s="5"/>
    </row>
    <row r="54" spans="1:16">
      <c r="A54" s="22"/>
      <c r="B54" s="22"/>
      <c r="C54" s="22"/>
      <c r="D54" s="22"/>
      <c r="E54" s="22"/>
      <c r="F54" s="22"/>
      <c r="G54" s="22"/>
      <c r="H54" s="22"/>
      <c r="I54" s="22"/>
      <c r="J54" s="22"/>
      <c r="K54" s="22"/>
      <c r="L54" s="22"/>
      <c r="M54" s="22"/>
      <c r="N54" s="22"/>
      <c r="O54" s="5"/>
      <c r="P54" s="5"/>
    </row>
    <row r="55" spans="1:16">
      <c r="A55" s="22"/>
      <c r="B55" s="22"/>
      <c r="C55" s="22"/>
      <c r="D55" s="22"/>
      <c r="E55" s="22"/>
      <c r="F55" s="22"/>
      <c r="G55" s="22"/>
      <c r="H55" s="22"/>
      <c r="I55" s="22"/>
      <c r="J55" s="22"/>
      <c r="K55" s="22"/>
      <c r="L55" s="22"/>
      <c r="M55" s="22"/>
      <c r="N55" s="22"/>
      <c r="O55" s="5"/>
      <c r="P55" s="5"/>
    </row>
    <row r="56" spans="1:16">
      <c r="A56" s="22"/>
      <c r="B56" s="22"/>
      <c r="C56" s="22"/>
      <c r="D56" s="22"/>
      <c r="E56" s="22"/>
      <c r="F56" s="22"/>
      <c r="G56" s="22"/>
      <c r="H56" s="22"/>
      <c r="I56" s="22"/>
      <c r="J56" s="22"/>
      <c r="K56" s="22"/>
      <c r="L56" s="22"/>
      <c r="M56" s="22"/>
      <c r="N56" s="22"/>
      <c r="O56" s="5"/>
      <c r="P56" s="5"/>
    </row>
    <row r="57" spans="1:16">
      <c r="A57" s="22"/>
      <c r="B57" s="22"/>
      <c r="C57" s="22"/>
      <c r="D57" s="22"/>
      <c r="E57" s="22"/>
      <c r="F57" s="22"/>
      <c r="G57" s="22"/>
      <c r="H57" s="22"/>
      <c r="I57" s="22"/>
      <c r="J57" s="22"/>
      <c r="K57" s="22"/>
      <c r="L57" s="22"/>
      <c r="M57" s="22"/>
      <c r="N57" s="22"/>
      <c r="O57" s="5"/>
      <c r="P57" s="5"/>
    </row>
    <row r="58" spans="1:16">
      <c r="A58" s="22"/>
      <c r="B58" s="22"/>
      <c r="C58" s="22"/>
      <c r="D58" s="22"/>
      <c r="E58" s="22"/>
      <c r="F58" s="22"/>
      <c r="G58" s="22"/>
      <c r="H58" s="22"/>
      <c r="I58" s="22"/>
      <c r="J58" s="22"/>
      <c r="K58" s="22"/>
      <c r="L58" s="22"/>
      <c r="M58" s="22"/>
      <c r="N58" s="22"/>
      <c r="O58" s="5"/>
      <c r="P58" s="5"/>
    </row>
    <row r="59" spans="1:16">
      <c r="A59" s="22"/>
      <c r="B59" s="22"/>
      <c r="C59" s="22"/>
      <c r="D59" s="22"/>
      <c r="E59" s="22"/>
      <c r="F59" s="22"/>
      <c r="G59" s="22"/>
      <c r="H59" s="22"/>
      <c r="I59" s="22"/>
      <c r="J59" s="22"/>
      <c r="K59" s="22"/>
      <c r="L59" s="22"/>
      <c r="M59" s="22"/>
      <c r="N59" s="22"/>
      <c r="O59" s="5"/>
      <c r="P59" s="5"/>
    </row>
    <row r="60" spans="1:16">
      <c r="A60" s="22"/>
      <c r="B60" s="22"/>
      <c r="C60" s="22"/>
      <c r="D60" s="22"/>
      <c r="E60" s="22"/>
      <c r="F60" s="22"/>
      <c r="G60" s="22"/>
      <c r="H60" s="22"/>
      <c r="I60" s="22"/>
      <c r="J60" s="22"/>
      <c r="K60" s="22"/>
      <c r="L60" s="22"/>
      <c r="M60" s="22"/>
      <c r="N60" s="22"/>
      <c r="O60" s="5"/>
      <c r="P60" s="5"/>
    </row>
    <row r="61" spans="1:16">
      <c r="A61" s="22"/>
      <c r="B61" s="22"/>
      <c r="C61" s="22"/>
      <c r="D61" s="22"/>
      <c r="E61" s="22"/>
      <c r="F61" s="22"/>
      <c r="G61" s="22"/>
      <c r="H61" s="22"/>
      <c r="I61" s="22"/>
      <c r="J61" s="22"/>
      <c r="K61" s="22"/>
      <c r="L61" s="22"/>
      <c r="M61" s="22"/>
      <c r="N61" s="22"/>
      <c r="O61" s="5"/>
      <c r="P61" s="5"/>
    </row>
    <row r="62" spans="1:16">
      <c r="A62" s="22"/>
      <c r="B62" s="22"/>
      <c r="C62" s="22"/>
      <c r="D62" s="22"/>
      <c r="E62" s="22"/>
      <c r="F62" s="22"/>
      <c r="G62" s="22"/>
      <c r="H62" s="22"/>
      <c r="I62" s="22"/>
      <c r="J62" s="22"/>
      <c r="K62" s="22"/>
      <c r="L62" s="22"/>
      <c r="M62" s="22"/>
      <c r="N62" s="22"/>
      <c r="O62" s="5"/>
      <c r="P62" s="5"/>
    </row>
    <row r="63" spans="1:16">
      <c r="A63" s="22"/>
      <c r="B63" s="22"/>
      <c r="C63" s="22"/>
      <c r="D63" s="22"/>
      <c r="E63" s="22"/>
      <c r="F63" s="22"/>
      <c r="G63" s="22"/>
      <c r="H63" s="22"/>
      <c r="I63" s="22"/>
      <c r="J63" s="22"/>
      <c r="K63" s="22"/>
      <c r="L63" s="22"/>
      <c r="M63" s="22"/>
      <c r="N63" s="22"/>
      <c r="O63" s="5"/>
      <c r="P63" s="5"/>
    </row>
    <row r="64" spans="1:16">
      <c r="A64" s="22"/>
      <c r="B64" s="22"/>
      <c r="C64" s="22"/>
      <c r="D64" s="22"/>
      <c r="E64" s="22"/>
      <c r="F64" s="22"/>
      <c r="G64" s="22"/>
      <c r="H64" s="22"/>
      <c r="I64" s="22"/>
      <c r="J64" s="22"/>
      <c r="K64" s="22"/>
      <c r="L64" s="22"/>
      <c r="M64" s="22"/>
      <c r="N64" s="22"/>
      <c r="O64" s="5"/>
      <c r="P64" s="5"/>
    </row>
    <row r="65" spans="1:16">
      <c r="A65" s="22"/>
      <c r="B65" s="22"/>
      <c r="C65" s="22"/>
      <c r="D65" s="22"/>
      <c r="E65" s="22"/>
      <c r="F65" s="22"/>
      <c r="G65" s="22"/>
      <c r="H65" s="22"/>
      <c r="I65" s="22"/>
      <c r="J65" s="22"/>
      <c r="K65" s="22"/>
      <c r="L65" s="22"/>
      <c r="M65" s="22"/>
      <c r="N65" s="22"/>
      <c r="O65" s="5"/>
      <c r="P65" s="5"/>
    </row>
    <row r="66" spans="1:16">
      <c r="A66" s="44" t="s">
        <v>291</v>
      </c>
      <c r="B66" s="44"/>
      <c r="C66" s="44"/>
      <c r="D66" s="44"/>
      <c r="E66" s="44"/>
      <c r="F66" s="44"/>
      <c r="G66" s="44"/>
      <c r="H66" s="44"/>
      <c r="I66" s="44"/>
      <c r="J66" s="44"/>
      <c r="K66" s="44"/>
      <c r="L66" s="44"/>
      <c r="M66" s="44"/>
      <c r="N66" s="44"/>
      <c r="O66" s="5"/>
      <c r="P66" s="5"/>
    </row>
    <row r="67" spans="1:16">
      <c r="A67" s="9" t="s">
        <v>298</v>
      </c>
      <c r="B67" s="10"/>
      <c r="C67" s="11"/>
      <c r="D67" s="9" t="s">
        <v>299</v>
      </c>
      <c r="E67" s="10"/>
      <c r="F67" s="11"/>
      <c r="G67" s="9" t="s">
        <v>300</v>
      </c>
      <c r="H67" s="10"/>
      <c r="I67" s="11"/>
      <c r="J67" s="9" t="s">
        <v>301</v>
      </c>
      <c r="K67" s="10"/>
      <c r="L67" s="11"/>
      <c r="M67" s="23"/>
      <c r="N67" s="23"/>
    </row>
    <row r="68" spans="1:16">
      <c r="A68" s="24">
        <f>Financial!B2</f>
        <v>12300000</v>
      </c>
      <c r="B68" s="25"/>
      <c r="C68" s="26"/>
      <c r="D68" s="24">
        <f>Financial!B3</f>
        <v>10008802.279999999</v>
      </c>
      <c r="E68" s="25"/>
      <c r="F68" s="26"/>
      <c r="G68" s="24">
        <f>Financial!B4</f>
        <v>2291197.7200000002</v>
      </c>
      <c r="H68" s="25"/>
      <c r="I68" s="26"/>
      <c r="J68" s="27">
        <f>D68/A68</f>
        <v>0.81372376260162593</v>
      </c>
      <c r="K68" s="28"/>
      <c r="L68" s="29"/>
      <c r="M68" s="23"/>
      <c r="N68" s="23"/>
    </row>
    <row r="69" spans="1:16">
      <c r="A69" s="30"/>
      <c r="B69" s="31"/>
      <c r="C69" s="32"/>
      <c r="D69" s="30"/>
      <c r="E69" s="31"/>
      <c r="F69" s="32"/>
      <c r="G69" s="30"/>
      <c r="H69" s="31"/>
      <c r="I69" s="32"/>
      <c r="J69" s="33"/>
      <c r="K69" s="34"/>
      <c r="L69" s="35"/>
      <c r="M69" s="23"/>
      <c r="N69" s="23"/>
    </row>
    <row r="70" spans="1:16">
      <c r="A70" s="36"/>
      <c r="B70" s="37"/>
      <c r="C70" s="38"/>
      <c r="D70" s="36"/>
      <c r="E70" s="37"/>
      <c r="F70" s="38"/>
      <c r="G70" s="36"/>
      <c r="H70" s="37"/>
      <c r="I70" s="38"/>
      <c r="J70" s="39"/>
      <c r="K70" s="40"/>
      <c r="L70" s="41"/>
      <c r="M70" s="23"/>
      <c r="N70" s="23"/>
    </row>
    <row r="71" spans="1:16">
      <c r="A71" s="22"/>
      <c r="B71" s="22"/>
      <c r="C71" s="22"/>
      <c r="D71" s="22"/>
      <c r="E71" s="22"/>
      <c r="F71" s="22"/>
      <c r="G71" s="22"/>
      <c r="H71" s="22"/>
      <c r="I71" s="22"/>
      <c r="J71" s="42"/>
      <c r="K71" s="22"/>
      <c r="L71" s="22"/>
      <c r="M71" s="22"/>
      <c r="N71" s="22"/>
    </row>
    <row r="72" spans="1:16">
      <c r="A72" s="22"/>
      <c r="B72" s="22"/>
      <c r="C72" s="22"/>
      <c r="D72" s="22"/>
      <c r="E72" s="22"/>
      <c r="F72" s="22"/>
      <c r="G72" s="22"/>
      <c r="H72" s="22"/>
      <c r="I72" s="22"/>
      <c r="J72" s="22"/>
      <c r="K72" s="22"/>
      <c r="L72" s="22"/>
      <c r="M72" s="22"/>
      <c r="N72" s="22"/>
    </row>
    <row r="73" spans="1:16">
      <c r="A73" s="5"/>
      <c r="B73" s="5"/>
      <c r="C73" s="5"/>
      <c r="D73" s="5"/>
      <c r="E73" s="5"/>
      <c r="F73" s="5"/>
      <c r="G73" s="5"/>
      <c r="H73" s="5"/>
      <c r="I73" s="5"/>
      <c r="J73" s="5"/>
      <c r="K73" s="5"/>
      <c r="L73" s="5"/>
      <c r="M73" s="5"/>
      <c r="N73" s="5"/>
    </row>
    <row r="74" spans="1:16">
      <c r="A74" s="5"/>
      <c r="B74" s="5"/>
      <c r="C74" s="5"/>
      <c r="D74" s="5"/>
      <c r="E74" s="5"/>
      <c r="F74" s="5"/>
      <c r="G74" s="5"/>
      <c r="H74" s="5"/>
      <c r="I74" s="5"/>
      <c r="J74" s="5"/>
      <c r="K74" s="5"/>
      <c r="L74" s="5"/>
      <c r="M74" s="5"/>
      <c r="N74" s="5"/>
    </row>
  </sheetData>
  <mergeCells count="25">
    <mergeCell ref="J68:L70"/>
    <mergeCell ref="A66:N66"/>
    <mergeCell ref="A15:B15"/>
    <mergeCell ref="A27:B27"/>
    <mergeCell ref="A40:B40"/>
    <mergeCell ref="A53:B53"/>
    <mergeCell ref="M10:N10"/>
    <mergeCell ref="M11:N13"/>
    <mergeCell ref="A67:C67"/>
    <mergeCell ref="A68:C70"/>
    <mergeCell ref="D67:F67"/>
    <mergeCell ref="D68:F70"/>
    <mergeCell ref="G67:I67"/>
    <mergeCell ref="G68:I70"/>
    <mergeCell ref="J67:L67"/>
    <mergeCell ref="A1:N2"/>
    <mergeCell ref="A3:N3"/>
    <mergeCell ref="A10:C10"/>
    <mergeCell ref="A11:C13"/>
    <mergeCell ref="D10:F10"/>
    <mergeCell ref="D11:F13"/>
    <mergeCell ref="G10:I10"/>
    <mergeCell ref="G11:I13"/>
    <mergeCell ref="J10:L10"/>
    <mergeCell ref="J11:L13"/>
  </mergeCells>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20"/>
  <sheetViews>
    <sheetView workbookViewId="0">
      <selection activeCell="B5" sqref="B5"/>
    </sheetView>
  </sheetViews>
  <sheetFormatPr defaultRowHeight="14.5"/>
  <cols>
    <col min="1" max="1" width="20.6328125" bestFit="1" customWidth="1"/>
    <col min="2" max="2" width="10.81640625" bestFit="1" customWidth="1"/>
    <col min="3" max="3" width="10" bestFit="1" customWidth="1"/>
  </cols>
  <sheetData>
    <row r="2" spans="1:3">
      <c r="A2" t="s">
        <v>213</v>
      </c>
      <c r="B2" t="s">
        <v>214</v>
      </c>
    </row>
    <row r="3" spans="1:3">
      <c r="A3" t="s">
        <v>215</v>
      </c>
      <c r="B3">
        <v>35</v>
      </c>
    </row>
    <row r="4" spans="1:3">
      <c r="A4" t="s">
        <v>216</v>
      </c>
      <c r="B4">
        <v>22</v>
      </c>
    </row>
    <row r="5" spans="1:3">
      <c r="A5" t="s">
        <v>217</v>
      </c>
      <c r="B5">
        <v>16</v>
      </c>
    </row>
    <row r="6" spans="1:3">
      <c r="A6" t="s">
        <v>218</v>
      </c>
      <c r="B6">
        <v>9</v>
      </c>
    </row>
    <row r="7" spans="1:3">
      <c r="A7" t="s">
        <v>219</v>
      </c>
      <c r="B7">
        <v>9</v>
      </c>
    </row>
    <row r="8" spans="1:3">
      <c r="A8" t="s">
        <v>220</v>
      </c>
      <c r="B8">
        <v>18</v>
      </c>
    </row>
    <row r="9" spans="1:3">
      <c r="A9" t="s">
        <v>221</v>
      </c>
      <c r="B9">
        <v>1</v>
      </c>
    </row>
    <row r="10" spans="1:3">
      <c r="A10" t="s">
        <v>222</v>
      </c>
      <c r="B10">
        <v>0.5</v>
      </c>
    </row>
    <row r="11" spans="1:3">
      <c r="A11" t="s">
        <v>223</v>
      </c>
      <c r="B11">
        <v>0.5</v>
      </c>
    </row>
    <row r="12" spans="1:3">
      <c r="A12" t="s">
        <v>224</v>
      </c>
      <c r="B12">
        <v>12300000</v>
      </c>
    </row>
    <row r="16" spans="1:3">
      <c r="A16" t="s">
        <v>225</v>
      </c>
      <c r="B16" t="s">
        <v>226</v>
      </c>
      <c r="C16" t="s">
        <v>227</v>
      </c>
    </row>
    <row r="17" spans="1:3">
      <c r="A17" t="s">
        <v>38</v>
      </c>
      <c r="B17">
        <v>16</v>
      </c>
      <c r="C17">
        <v>45.71</v>
      </c>
    </row>
    <row r="18" spans="1:3">
      <c r="A18" t="s">
        <v>80</v>
      </c>
      <c r="B18">
        <v>9</v>
      </c>
      <c r="C18">
        <v>25.71</v>
      </c>
    </row>
    <row r="19" spans="1:3">
      <c r="A19" t="s">
        <v>117</v>
      </c>
      <c r="B19">
        <v>9</v>
      </c>
      <c r="C19">
        <v>25.71</v>
      </c>
    </row>
    <row r="20" spans="1:3">
      <c r="A20" t="s">
        <v>210</v>
      </c>
      <c r="B20">
        <v>1</v>
      </c>
      <c r="C20">
        <v>2.86</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73"/>
  <sheetViews>
    <sheetView workbookViewId="0">
      <selection activeCell="D52" sqref="D52"/>
    </sheetView>
  </sheetViews>
  <sheetFormatPr defaultRowHeight="14.5"/>
  <cols>
    <col min="1" max="1" width="25.81640625" bestFit="1" customWidth="1"/>
    <col min="2" max="2" width="12.08984375" bestFit="1" customWidth="1"/>
    <col min="3" max="3" width="10.453125" bestFit="1" customWidth="1"/>
    <col min="4" max="4" width="17.08984375" bestFit="1" customWidth="1"/>
    <col min="5" max="5" width="11.08984375" bestFit="1" customWidth="1"/>
  </cols>
  <sheetData>
    <row r="2" spans="1:3">
      <c r="A2" t="s">
        <v>213</v>
      </c>
      <c r="B2" t="s">
        <v>214</v>
      </c>
    </row>
    <row r="3" spans="1:3">
      <c r="A3" t="s">
        <v>215</v>
      </c>
      <c r="B3">
        <v>35</v>
      </c>
    </row>
    <row r="4" spans="1:3">
      <c r="A4" t="s">
        <v>216</v>
      </c>
      <c r="B4">
        <v>22</v>
      </c>
    </row>
    <row r="5" spans="1:3">
      <c r="A5" t="s">
        <v>228</v>
      </c>
      <c r="B5" t="s">
        <v>121</v>
      </c>
    </row>
    <row r="6" spans="1:3">
      <c r="A6" t="s">
        <v>229</v>
      </c>
      <c r="B6">
        <v>8</v>
      </c>
    </row>
    <row r="7" spans="1:3">
      <c r="A7" t="s">
        <v>230</v>
      </c>
      <c r="B7">
        <v>3.5</v>
      </c>
    </row>
    <row r="10" spans="1:3">
      <c r="A10" t="s">
        <v>33</v>
      </c>
      <c r="B10" t="s">
        <v>231</v>
      </c>
      <c r="C10" t="s">
        <v>232</v>
      </c>
    </row>
    <row r="11" spans="1:3">
      <c r="A11" t="s">
        <v>152</v>
      </c>
      <c r="B11">
        <v>3</v>
      </c>
      <c r="C11">
        <v>3</v>
      </c>
    </row>
    <row r="12" spans="1:3">
      <c r="A12" t="s">
        <v>147</v>
      </c>
      <c r="B12">
        <v>1</v>
      </c>
      <c r="C12">
        <v>1</v>
      </c>
    </row>
    <row r="13" spans="1:3">
      <c r="A13" t="s">
        <v>167</v>
      </c>
      <c r="B13">
        <v>4</v>
      </c>
      <c r="C13">
        <v>4</v>
      </c>
    </row>
    <row r="14" spans="1:3">
      <c r="A14" t="s">
        <v>137</v>
      </c>
      <c r="B14">
        <v>4</v>
      </c>
      <c r="C14">
        <v>4</v>
      </c>
    </row>
    <row r="15" spans="1:3">
      <c r="A15" t="s">
        <v>184</v>
      </c>
      <c r="B15">
        <v>2</v>
      </c>
      <c r="C15">
        <v>2</v>
      </c>
    </row>
    <row r="16" spans="1:3">
      <c r="A16" t="s">
        <v>56</v>
      </c>
      <c r="B16">
        <v>3</v>
      </c>
      <c r="C16">
        <v>3</v>
      </c>
    </row>
    <row r="17" spans="1:5">
      <c r="A17" t="s">
        <v>87</v>
      </c>
      <c r="B17">
        <v>4</v>
      </c>
      <c r="C17">
        <v>4</v>
      </c>
    </row>
    <row r="18" spans="1:5">
      <c r="A18" t="s">
        <v>121</v>
      </c>
      <c r="B18">
        <v>8</v>
      </c>
      <c r="C18">
        <v>8</v>
      </c>
    </row>
    <row r="19" spans="1:5">
      <c r="A19" t="s">
        <v>182</v>
      </c>
      <c r="B19">
        <v>1</v>
      </c>
      <c r="C19">
        <v>1</v>
      </c>
    </row>
    <row r="20" spans="1:5">
      <c r="A20" t="s">
        <v>140</v>
      </c>
      <c r="B20">
        <v>5</v>
      </c>
      <c r="C20">
        <v>5</v>
      </c>
    </row>
    <row r="24" spans="1:5">
      <c r="A24" t="s">
        <v>33</v>
      </c>
      <c r="B24" t="s">
        <v>231</v>
      </c>
      <c r="C24" t="s">
        <v>232</v>
      </c>
      <c r="D24" t="s">
        <v>233</v>
      </c>
      <c r="E24" t="s">
        <v>234</v>
      </c>
    </row>
    <row r="25" spans="1:5">
      <c r="A25" t="s">
        <v>152</v>
      </c>
      <c r="B25">
        <v>3</v>
      </c>
      <c r="C25">
        <v>3</v>
      </c>
    </row>
    <row r="26" spans="1:5">
      <c r="A26" t="s">
        <v>147</v>
      </c>
      <c r="B26">
        <v>1</v>
      </c>
      <c r="C26">
        <v>1</v>
      </c>
      <c r="D26">
        <v>-2</v>
      </c>
      <c r="E26">
        <v>-67</v>
      </c>
    </row>
    <row r="27" spans="1:5">
      <c r="A27" t="s">
        <v>167</v>
      </c>
      <c r="B27">
        <v>4</v>
      </c>
      <c r="C27">
        <v>4</v>
      </c>
      <c r="D27">
        <v>3</v>
      </c>
      <c r="E27">
        <v>300</v>
      </c>
    </row>
    <row r="28" spans="1:5">
      <c r="A28" t="s">
        <v>137</v>
      </c>
      <c r="B28">
        <v>4</v>
      </c>
      <c r="C28">
        <v>4</v>
      </c>
      <c r="D28">
        <v>0</v>
      </c>
      <c r="E28">
        <v>0</v>
      </c>
    </row>
    <row r="29" spans="1:5">
      <c r="A29" t="s">
        <v>184</v>
      </c>
      <c r="B29">
        <v>2</v>
      </c>
      <c r="C29">
        <v>2</v>
      </c>
      <c r="D29">
        <v>-2</v>
      </c>
      <c r="E29">
        <v>-50</v>
      </c>
    </row>
    <row r="30" spans="1:5">
      <c r="A30" t="s">
        <v>56</v>
      </c>
      <c r="B30">
        <v>3</v>
      </c>
      <c r="C30">
        <v>3</v>
      </c>
      <c r="D30">
        <v>1</v>
      </c>
      <c r="E30">
        <v>50</v>
      </c>
    </row>
    <row r="31" spans="1:5">
      <c r="A31" t="s">
        <v>87</v>
      </c>
      <c r="B31">
        <v>4</v>
      </c>
      <c r="C31">
        <v>4</v>
      </c>
      <c r="D31">
        <v>1</v>
      </c>
      <c r="E31">
        <v>33</v>
      </c>
    </row>
    <row r="32" spans="1:5">
      <c r="A32" t="s">
        <v>121</v>
      </c>
      <c r="B32">
        <v>8</v>
      </c>
      <c r="C32">
        <v>8</v>
      </c>
      <c r="D32">
        <v>4</v>
      </c>
      <c r="E32">
        <v>100</v>
      </c>
    </row>
    <row r="33" spans="1:5">
      <c r="A33" t="s">
        <v>182</v>
      </c>
      <c r="B33">
        <v>1</v>
      </c>
      <c r="C33">
        <v>1</v>
      </c>
      <c r="D33">
        <v>-7</v>
      </c>
      <c r="E33">
        <v>-88</v>
      </c>
    </row>
    <row r="34" spans="1:5">
      <c r="A34" t="s">
        <v>140</v>
      </c>
      <c r="B34">
        <v>5</v>
      </c>
      <c r="C34">
        <v>5</v>
      </c>
      <c r="D34">
        <v>4</v>
      </c>
      <c r="E34">
        <v>400</v>
      </c>
    </row>
    <row r="38" spans="1:5">
      <c r="A38" t="s">
        <v>235</v>
      </c>
      <c r="B38" t="s">
        <v>231</v>
      </c>
      <c r="C38" t="s">
        <v>232</v>
      </c>
    </row>
    <row r="39" spans="1:5">
      <c r="A39">
        <v>2025</v>
      </c>
      <c r="B39">
        <v>14</v>
      </c>
      <c r="C39">
        <v>13</v>
      </c>
    </row>
    <row r="40" spans="1:5">
      <c r="A40">
        <v>2026</v>
      </c>
      <c r="B40">
        <v>21</v>
      </c>
      <c r="C40">
        <v>18</v>
      </c>
    </row>
    <row r="44" spans="1:5">
      <c r="A44" t="s">
        <v>236</v>
      </c>
      <c r="B44" t="s">
        <v>231</v>
      </c>
      <c r="C44" t="s">
        <v>232</v>
      </c>
    </row>
    <row r="45" spans="1:5">
      <c r="A45" t="s">
        <v>237</v>
      </c>
      <c r="B45">
        <v>4</v>
      </c>
      <c r="C45">
        <v>4</v>
      </c>
    </row>
    <row r="46" spans="1:5">
      <c r="A46" t="s">
        <v>238</v>
      </c>
      <c r="B46">
        <v>10</v>
      </c>
      <c r="C46">
        <v>10</v>
      </c>
    </row>
    <row r="47" spans="1:5">
      <c r="A47" t="s">
        <v>239</v>
      </c>
      <c r="B47">
        <v>15</v>
      </c>
      <c r="C47">
        <v>13</v>
      </c>
    </row>
    <row r="48" spans="1:5">
      <c r="A48" t="s">
        <v>240</v>
      </c>
      <c r="B48">
        <v>6</v>
      </c>
      <c r="C48">
        <v>6</v>
      </c>
    </row>
    <row r="52" spans="1:5">
      <c r="A52" t="s">
        <v>23</v>
      </c>
      <c r="B52" t="s">
        <v>231</v>
      </c>
      <c r="C52" t="s">
        <v>232</v>
      </c>
    </row>
    <row r="53" spans="1:5">
      <c r="A53" t="s">
        <v>49</v>
      </c>
      <c r="B53">
        <v>18</v>
      </c>
      <c r="C53">
        <v>14</v>
      </c>
    </row>
    <row r="54" spans="1:5">
      <c r="A54" t="s">
        <v>71</v>
      </c>
      <c r="B54">
        <v>10</v>
      </c>
      <c r="C54">
        <v>9</v>
      </c>
    </row>
    <row r="55" spans="1:5">
      <c r="A55" t="s">
        <v>112</v>
      </c>
      <c r="B55">
        <v>5</v>
      </c>
      <c r="C55">
        <v>4</v>
      </c>
    </row>
    <row r="56" spans="1:5">
      <c r="A56" t="s">
        <v>97</v>
      </c>
      <c r="B56">
        <v>2</v>
      </c>
      <c r="C56">
        <v>2</v>
      </c>
    </row>
    <row r="60" spans="1:5">
      <c r="A60" t="s">
        <v>28</v>
      </c>
      <c r="B60" t="s">
        <v>29</v>
      </c>
      <c r="C60" t="s">
        <v>30</v>
      </c>
      <c r="D60" t="s">
        <v>231</v>
      </c>
      <c r="E60" t="s">
        <v>232</v>
      </c>
    </row>
    <row r="61" spans="1:5">
      <c r="A61" t="s">
        <v>52</v>
      </c>
      <c r="B61" t="s">
        <v>53</v>
      </c>
      <c r="C61" t="s">
        <v>54</v>
      </c>
      <c r="D61">
        <v>16</v>
      </c>
      <c r="E61">
        <v>12</v>
      </c>
    </row>
    <row r="62" spans="1:5">
      <c r="A62" t="s">
        <v>74</v>
      </c>
      <c r="B62" t="s">
        <v>75</v>
      </c>
      <c r="C62" t="s">
        <v>76</v>
      </c>
      <c r="D62">
        <v>11</v>
      </c>
      <c r="E62">
        <v>9</v>
      </c>
    </row>
    <row r="63" spans="1:5">
      <c r="A63" t="s">
        <v>100</v>
      </c>
      <c r="B63" t="s">
        <v>101</v>
      </c>
      <c r="C63" t="s">
        <v>102</v>
      </c>
      <c r="D63">
        <v>8</v>
      </c>
      <c r="E63">
        <v>8</v>
      </c>
    </row>
    <row r="69" spans="1:3">
      <c r="A69" t="s">
        <v>20</v>
      </c>
      <c r="B69" t="s">
        <v>231</v>
      </c>
      <c r="C69" t="s">
        <v>232</v>
      </c>
    </row>
    <row r="70" spans="1:3">
      <c r="A70" t="s">
        <v>86</v>
      </c>
      <c r="B70">
        <v>15</v>
      </c>
      <c r="C70">
        <v>9</v>
      </c>
    </row>
    <row r="71" spans="1:3">
      <c r="A71" t="s">
        <v>69</v>
      </c>
      <c r="B71">
        <v>10</v>
      </c>
      <c r="C71">
        <v>6</v>
      </c>
    </row>
    <row r="72" spans="1:3">
      <c r="A72" t="s">
        <v>120</v>
      </c>
      <c r="B72">
        <v>6</v>
      </c>
      <c r="C72">
        <v>3</v>
      </c>
    </row>
    <row r="73" spans="1:3">
      <c r="A73" t="s">
        <v>47</v>
      </c>
      <c r="B73">
        <v>4</v>
      </c>
      <c r="C73">
        <v>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4"/>
  <sheetViews>
    <sheetView topLeftCell="A23" workbookViewId="0">
      <selection activeCell="E8" sqref="E8"/>
    </sheetView>
  </sheetViews>
  <sheetFormatPr defaultRowHeight="14.5"/>
  <cols>
    <col min="1" max="2" width="24.7265625" bestFit="1" customWidth="1"/>
    <col min="3" max="3" width="17.90625" bestFit="1" customWidth="1"/>
    <col min="4" max="4" width="13" bestFit="1" customWidth="1"/>
    <col min="5" max="5" width="17.81640625" bestFit="1" customWidth="1"/>
    <col min="6" max="6" width="19.6328125" bestFit="1" customWidth="1"/>
    <col min="7" max="7" width="18.453125" bestFit="1" customWidth="1"/>
    <col min="8" max="8" width="14.26953125" bestFit="1" customWidth="1"/>
  </cols>
  <sheetData>
    <row r="1" spans="1:5">
      <c r="A1" t="s">
        <v>213</v>
      </c>
      <c r="B1" t="s">
        <v>241</v>
      </c>
      <c r="D1" t="s">
        <v>213</v>
      </c>
      <c r="E1" t="s">
        <v>241</v>
      </c>
    </row>
    <row r="2" spans="1:5">
      <c r="A2" t="s">
        <v>224</v>
      </c>
      <c r="B2">
        <v>12300000</v>
      </c>
      <c r="D2" t="s">
        <v>224</v>
      </c>
      <c r="E2">
        <v>12300000</v>
      </c>
    </row>
    <row r="3" spans="1:5">
      <c r="A3" t="s">
        <v>242</v>
      </c>
      <c r="B3">
        <v>10008802.279999999</v>
      </c>
      <c r="D3" t="s">
        <v>242</v>
      </c>
      <c r="E3">
        <v>10008802.279999999</v>
      </c>
    </row>
    <row r="4" spans="1:5">
      <c r="A4" t="s">
        <v>243</v>
      </c>
      <c r="B4">
        <v>2291197.7200000002</v>
      </c>
      <c r="D4" t="s">
        <v>243</v>
      </c>
      <c r="E4">
        <v>2291197.7200000002</v>
      </c>
    </row>
    <row r="7" spans="1:5">
      <c r="A7" t="s">
        <v>23</v>
      </c>
      <c r="B7" t="s">
        <v>231</v>
      </c>
      <c r="C7" t="s">
        <v>244</v>
      </c>
    </row>
    <row r="8" spans="1:5">
      <c r="A8" t="s">
        <v>49</v>
      </c>
      <c r="B8">
        <v>18</v>
      </c>
      <c r="C8">
        <v>6300000</v>
      </c>
    </row>
    <row r="9" spans="1:5">
      <c r="A9" t="s">
        <v>71</v>
      </c>
      <c r="B9">
        <v>10</v>
      </c>
      <c r="C9">
        <v>4000000</v>
      </c>
    </row>
    <row r="10" spans="1:5">
      <c r="A10" t="s">
        <v>112</v>
      </c>
      <c r="B10">
        <v>5</v>
      </c>
      <c r="C10">
        <v>1500000</v>
      </c>
    </row>
    <row r="11" spans="1:5">
      <c r="A11" t="s">
        <v>97</v>
      </c>
      <c r="B11">
        <v>2</v>
      </c>
      <c r="C11">
        <v>500000</v>
      </c>
    </row>
    <row r="14" spans="1:5">
      <c r="A14" t="s">
        <v>28</v>
      </c>
      <c r="B14" t="s">
        <v>231</v>
      </c>
      <c r="C14" t="s">
        <v>244</v>
      </c>
    </row>
    <row r="15" spans="1:5">
      <c r="A15" t="s">
        <v>52</v>
      </c>
      <c r="B15">
        <v>16</v>
      </c>
      <c r="C15">
        <v>5500000</v>
      </c>
    </row>
    <row r="16" spans="1:5">
      <c r="A16" t="s">
        <v>74</v>
      </c>
      <c r="B16">
        <v>11</v>
      </c>
      <c r="C16">
        <v>3950000</v>
      </c>
    </row>
    <row r="17" spans="1:6">
      <c r="A17" t="s">
        <v>100</v>
      </c>
      <c r="B17">
        <v>8</v>
      </c>
      <c r="C17">
        <v>2850000</v>
      </c>
    </row>
    <row r="21" spans="1:6">
      <c r="A21" t="s">
        <v>10</v>
      </c>
      <c r="B21" t="s">
        <v>231</v>
      </c>
      <c r="C21" t="s">
        <v>244</v>
      </c>
      <c r="D21" t="s">
        <v>245</v>
      </c>
    </row>
    <row r="22" spans="1:6">
      <c r="A22" t="s">
        <v>39</v>
      </c>
      <c r="B22">
        <v>15</v>
      </c>
      <c r="C22">
        <v>5350000</v>
      </c>
      <c r="D22">
        <v>356666.67</v>
      </c>
    </row>
    <row r="23" spans="1:6">
      <c r="A23" t="s">
        <v>61</v>
      </c>
      <c r="B23">
        <v>12</v>
      </c>
      <c r="C23">
        <v>3950000</v>
      </c>
      <c r="D23">
        <v>329166.67</v>
      </c>
    </row>
    <row r="24" spans="1:6">
      <c r="A24" t="s">
        <v>166</v>
      </c>
      <c r="B24">
        <v>2</v>
      </c>
      <c r="C24">
        <v>750000</v>
      </c>
      <c r="D24">
        <v>375000</v>
      </c>
    </row>
    <row r="25" spans="1:6">
      <c r="A25" t="s">
        <v>124</v>
      </c>
      <c r="B25">
        <v>6</v>
      </c>
      <c r="C25">
        <v>2250000</v>
      </c>
      <c r="D25">
        <v>375000</v>
      </c>
    </row>
    <row r="28" spans="1:6">
      <c r="A28" t="s">
        <v>246</v>
      </c>
      <c r="B28" t="s">
        <v>231</v>
      </c>
      <c r="C28" t="s">
        <v>244</v>
      </c>
      <c r="D28" t="s">
        <v>247</v>
      </c>
      <c r="E28" t="s">
        <v>248</v>
      </c>
      <c r="F28" t="s">
        <v>249</v>
      </c>
    </row>
    <row r="29" spans="1:6">
      <c r="A29" t="s">
        <v>250</v>
      </c>
      <c r="B29">
        <v>21</v>
      </c>
      <c r="C29">
        <v>7550000</v>
      </c>
      <c r="D29">
        <v>7550000</v>
      </c>
      <c r="E29">
        <v>0</v>
      </c>
      <c r="F29">
        <v>60</v>
      </c>
    </row>
    <row r="30" spans="1:6">
      <c r="A30" t="s">
        <v>251</v>
      </c>
      <c r="B30">
        <v>3</v>
      </c>
      <c r="C30">
        <v>1000000</v>
      </c>
      <c r="D30">
        <v>1021202.28</v>
      </c>
      <c r="E30">
        <v>-21202.28</v>
      </c>
      <c r="F30">
        <v>8.57</v>
      </c>
    </row>
    <row r="31" spans="1:6">
      <c r="A31" t="s">
        <v>252</v>
      </c>
      <c r="B31">
        <v>11</v>
      </c>
      <c r="C31">
        <v>3750000</v>
      </c>
      <c r="D31">
        <v>1437600</v>
      </c>
      <c r="E31">
        <v>2312400</v>
      </c>
      <c r="F31">
        <v>31.43</v>
      </c>
    </row>
    <row r="37" spans="1:8">
      <c r="A37" t="s">
        <v>0</v>
      </c>
      <c r="B37" t="s">
        <v>23</v>
      </c>
      <c r="C37" t="s">
        <v>28</v>
      </c>
      <c r="D37" t="s">
        <v>10</v>
      </c>
      <c r="E37" t="s">
        <v>26</v>
      </c>
      <c r="F37" t="s">
        <v>253</v>
      </c>
      <c r="G37" t="s">
        <v>254</v>
      </c>
      <c r="H37" t="s">
        <v>246</v>
      </c>
    </row>
    <row r="38" spans="1:8">
      <c r="A38" t="s">
        <v>34</v>
      </c>
      <c r="B38" t="s">
        <v>49</v>
      </c>
      <c r="C38" t="s">
        <v>52</v>
      </c>
      <c r="D38" t="s">
        <v>39</v>
      </c>
      <c r="E38">
        <v>350000</v>
      </c>
      <c r="F38">
        <v>359108.42</v>
      </c>
      <c r="G38">
        <v>-9108.42</v>
      </c>
      <c r="H38" t="s">
        <v>251</v>
      </c>
    </row>
    <row r="39" spans="1:8">
      <c r="A39" t="s">
        <v>57</v>
      </c>
      <c r="B39" t="s">
        <v>71</v>
      </c>
      <c r="C39" t="s">
        <v>74</v>
      </c>
      <c r="D39" t="s">
        <v>61</v>
      </c>
      <c r="E39">
        <v>400000</v>
      </c>
      <c r="F39">
        <v>400000</v>
      </c>
      <c r="G39">
        <v>0</v>
      </c>
      <c r="H39" t="s">
        <v>250</v>
      </c>
    </row>
    <row r="40" spans="1:8">
      <c r="A40" t="s">
        <v>78</v>
      </c>
      <c r="B40" t="s">
        <v>49</v>
      </c>
      <c r="C40" t="s">
        <v>52</v>
      </c>
      <c r="D40" t="s">
        <v>61</v>
      </c>
      <c r="E40">
        <v>350000</v>
      </c>
      <c r="F40">
        <v>200000</v>
      </c>
      <c r="G40">
        <v>150000</v>
      </c>
      <c r="H40" t="s">
        <v>252</v>
      </c>
    </row>
    <row r="41" spans="1:8">
      <c r="A41" t="s">
        <v>88</v>
      </c>
      <c r="B41" t="s">
        <v>97</v>
      </c>
      <c r="C41" t="s">
        <v>100</v>
      </c>
      <c r="D41" t="s">
        <v>39</v>
      </c>
      <c r="E41">
        <v>250000</v>
      </c>
      <c r="F41">
        <v>250000</v>
      </c>
      <c r="G41">
        <v>0</v>
      </c>
      <c r="H41" t="s">
        <v>250</v>
      </c>
    </row>
    <row r="42" spans="1:8">
      <c r="A42" t="s">
        <v>104</v>
      </c>
      <c r="B42" t="s">
        <v>112</v>
      </c>
      <c r="C42" t="s">
        <v>74</v>
      </c>
      <c r="D42" t="s">
        <v>39</v>
      </c>
      <c r="E42">
        <v>300000</v>
      </c>
      <c r="F42">
        <v>300000</v>
      </c>
      <c r="G42">
        <v>0</v>
      </c>
      <c r="H42" t="s">
        <v>250</v>
      </c>
    </row>
    <row r="43" spans="1:8">
      <c r="A43" t="s">
        <v>115</v>
      </c>
      <c r="B43" t="s">
        <v>49</v>
      </c>
      <c r="C43" t="s">
        <v>52</v>
      </c>
      <c r="D43" t="s">
        <v>39</v>
      </c>
      <c r="E43">
        <v>350000</v>
      </c>
      <c r="F43">
        <v>350000</v>
      </c>
      <c r="G43">
        <v>0</v>
      </c>
      <c r="H43" t="s">
        <v>250</v>
      </c>
    </row>
    <row r="44" spans="1:8">
      <c r="A44" t="s">
        <v>122</v>
      </c>
      <c r="B44" t="s">
        <v>49</v>
      </c>
      <c r="C44" t="s">
        <v>52</v>
      </c>
      <c r="D44" t="s">
        <v>124</v>
      </c>
      <c r="E44">
        <v>350000</v>
      </c>
      <c r="F44">
        <v>292600</v>
      </c>
      <c r="G44">
        <v>57400</v>
      </c>
      <c r="H44" t="s">
        <v>252</v>
      </c>
    </row>
    <row r="45" spans="1:8">
      <c r="A45" t="s">
        <v>127</v>
      </c>
      <c r="B45" t="s">
        <v>71</v>
      </c>
      <c r="C45" t="s">
        <v>100</v>
      </c>
      <c r="D45" t="s">
        <v>124</v>
      </c>
      <c r="E45">
        <v>400000</v>
      </c>
      <c r="F45">
        <v>400000</v>
      </c>
      <c r="G45">
        <v>0</v>
      </c>
      <c r="H45" t="s">
        <v>250</v>
      </c>
    </row>
    <row r="46" spans="1:8">
      <c r="A46" t="s">
        <v>132</v>
      </c>
      <c r="B46" t="s">
        <v>71</v>
      </c>
      <c r="C46" t="s">
        <v>52</v>
      </c>
      <c r="D46" t="s">
        <v>39</v>
      </c>
      <c r="E46">
        <v>400000</v>
      </c>
      <c r="F46">
        <v>400000</v>
      </c>
      <c r="G46">
        <v>0</v>
      </c>
      <c r="H46" t="s">
        <v>250</v>
      </c>
    </row>
    <row r="47" spans="1:8">
      <c r="A47" t="s">
        <v>138</v>
      </c>
      <c r="B47" t="s">
        <v>97</v>
      </c>
      <c r="C47" t="s">
        <v>52</v>
      </c>
      <c r="D47" t="s">
        <v>61</v>
      </c>
      <c r="E47">
        <v>250000</v>
      </c>
      <c r="F47">
        <v>74000</v>
      </c>
      <c r="G47">
        <v>176000</v>
      </c>
      <c r="H47" t="s">
        <v>252</v>
      </c>
    </row>
    <row r="48" spans="1:8">
      <c r="A48" t="s">
        <v>141</v>
      </c>
      <c r="B48" t="s">
        <v>71</v>
      </c>
      <c r="C48" t="s">
        <v>52</v>
      </c>
      <c r="D48" t="s">
        <v>124</v>
      </c>
      <c r="E48">
        <v>400000</v>
      </c>
      <c r="F48">
        <v>400000</v>
      </c>
      <c r="G48">
        <v>0</v>
      </c>
      <c r="H48" t="s">
        <v>250</v>
      </c>
    </row>
    <row r="49" spans="1:8">
      <c r="A49" t="s">
        <v>142</v>
      </c>
      <c r="B49" t="s">
        <v>49</v>
      </c>
      <c r="C49" t="s">
        <v>74</v>
      </c>
      <c r="D49" t="s">
        <v>39</v>
      </c>
      <c r="E49">
        <v>350000</v>
      </c>
      <c r="F49">
        <v>350000</v>
      </c>
      <c r="G49">
        <v>0</v>
      </c>
      <c r="H49" t="s">
        <v>250</v>
      </c>
    </row>
    <row r="50" spans="1:8">
      <c r="A50" t="s">
        <v>148</v>
      </c>
      <c r="B50" t="s">
        <v>71</v>
      </c>
      <c r="C50" t="s">
        <v>74</v>
      </c>
      <c r="D50" t="s">
        <v>39</v>
      </c>
      <c r="E50">
        <v>400000</v>
      </c>
      <c r="F50">
        <v>400000</v>
      </c>
      <c r="G50">
        <v>0</v>
      </c>
      <c r="H50" t="s">
        <v>250</v>
      </c>
    </row>
    <row r="51" spans="1:8">
      <c r="A51" t="s">
        <v>153</v>
      </c>
      <c r="B51" t="s">
        <v>49</v>
      </c>
      <c r="C51" t="s">
        <v>52</v>
      </c>
      <c r="D51" t="s">
        <v>39</v>
      </c>
      <c r="E51">
        <v>350000</v>
      </c>
      <c r="F51">
        <v>350000</v>
      </c>
      <c r="G51">
        <v>0</v>
      </c>
      <c r="H51" t="s">
        <v>250</v>
      </c>
    </row>
    <row r="52" spans="1:8">
      <c r="A52" t="s">
        <v>157</v>
      </c>
      <c r="B52" t="s">
        <v>49</v>
      </c>
      <c r="C52" t="s">
        <v>100</v>
      </c>
      <c r="D52" t="s">
        <v>39</v>
      </c>
      <c r="E52">
        <v>350000</v>
      </c>
      <c r="F52">
        <v>350000</v>
      </c>
      <c r="G52">
        <v>0</v>
      </c>
      <c r="H52" t="s">
        <v>250</v>
      </c>
    </row>
    <row r="53" spans="1:8">
      <c r="A53" t="s">
        <v>161</v>
      </c>
      <c r="B53" t="s">
        <v>112</v>
      </c>
      <c r="C53" t="s">
        <v>52</v>
      </c>
      <c r="D53" t="s">
        <v>61</v>
      </c>
      <c r="E53">
        <v>300000</v>
      </c>
      <c r="F53">
        <v>300000</v>
      </c>
      <c r="G53">
        <v>0</v>
      </c>
      <c r="H53" t="s">
        <v>250</v>
      </c>
    </row>
    <row r="54" spans="1:8">
      <c r="A54" t="s">
        <v>165</v>
      </c>
      <c r="B54" t="s">
        <v>49</v>
      </c>
      <c r="C54" t="s">
        <v>52</v>
      </c>
      <c r="D54" t="s">
        <v>166</v>
      </c>
      <c r="E54">
        <v>350000</v>
      </c>
      <c r="F54">
        <v>350000</v>
      </c>
      <c r="G54">
        <v>0</v>
      </c>
      <c r="H54" t="s">
        <v>250</v>
      </c>
    </row>
    <row r="55" spans="1:8">
      <c r="A55" t="s">
        <v>168</v>
      </c>
      <c r="B55" t="s">
        <v>49</v>
      </c>
      <c r="C55" t="s">
        <v>74</v>
      </c>
      <c r="D55" t="s">
        <v>61</v>
      </c>
      <c r="E55">
        <v>350000</v>
      </c>
      <c r="F55">
        <v>350000</v>
      </c>
      <c r="G55">
        <v>0</v>
      </c>
      <c r="H55" t="s">
        <v>250</v>
      </c>
    </row>
    <row r="56" spans="1:8">
      <c r="A56" t="s">
        <v>169</v>
      </c>
      <c r="B56" t="s">
        <v>71</v>
      </c>
      <c r="C56" t="s">
        <v>100</v>
      </c>
      <c r="D56" t="s">
        <v>166</v>
      </c>
      <c r="E56">
        <v>400000</v>
      </c>
      <c r="F56">
        <v>400000</v>
      </c>
      <c r="G56">
        <v>0</v>
      </c>
      <c r="H56" t="s">
        <v>250</v>
      </c>
    </row>
    <row r="57" spans="1:8">
      <c r="A57" t="s">
        <v>173</v>
      </c>
      <c r="B57" t="s">
        <v>49</v>
      </c>
      <c r="C57" t="s">
        <v>52</v>
      </c>
      <c r="D57" t="s">
        <v>39</v>
      </c>
      <c r="E57">
        <v>350000</v>
      </c>
      <c r="F57">
        <v>204000</v>
      </c>
      <c r="G57">
        <v>146000</v>
      </c>
      <c r="H57" t="s">
        <v>252</v>
      </c>
    </row>
    <row r="58" spans="1:8">
      <c r="A58" t="s">
        <v>174</v>
      </c>
      <c r="B58" t="s">
        <v>71</v>
      </c>
      <c r="C58" t="s">
        <v>74</v>
      </c>
      <c r="D58" t="s">
        <v>39</v>
      </c>
      <c r="E58">
        <v>400000</v>
      </c>
      <c r="F58">
        <v>400000</v>
      </c>
      <c r="G58">
        <v>0</v>
      </c>
      <c r="H58" t="s">
        <v>250</v>
      </c>
    </row>
    <row r="59" spans="1:8">
      <c r="A59" t="s">
        <v>178</v>
      </c>
      <c r="B59" t="s">
        <v>49</v>
      </c>
      <c r="C59" t="s">
        <v>100</v>
      </c>
      <c r="D59" t="s">
        <v>39</v>
      </c>
      <c r="E59">
        <v>350000</v>
      </c>
      <c r="F59">
        <v>350000</v>
      </c>
      <c r="G59">
        <v>0</v>
      </c>
      <c r="H59" t="s">
        <v>250</v>
      </c>
    </row>
    <row r="60" spans="1:8">
      <c r="A60" t="s">
        <v>183</v>
      </c>
      <c r="B60" t="s">
        <v>49</v>
      </c>
      <c r="C60" t="s">
        <v>52</v>
      </c>
      <c r="D60" t="s">
        <v>39</v>
      </c>
      <c r="E60">
        <v>350000</v>
      </c>
      <c r="F60">
        <v>350000</v>
      </c>
      <c r="G60">
        <v>0</v>
      </c>
      <c r="H60" t="s">
        <v>250</v>
      </c>
    </row>
    <row r="61" spans="1:8">
      <c r="A61" t="s">
        <v>185</v>
      </c>
      <c r="B61" t="s">
        <v>112</v>
      </c>
      <c r="C61" t="s">
        <v>52</v>
      </c>
      <c r="D61" t="s">
        <v>61</v>
      </c>
      <c r="E61">
        <v>300000</v>
      </c>
      <c r="F61">
        <v>69000</v>
      </c>
      <c r="G61">
        <v>231000</v>
      </c>
      <c r="H61" t="s">
        <v>252</v>
      </c>
    </row>
    <row r="62" spans="1:8">
      <c r="A62" t="s">
        <v>189</v>
      </c>
      <c r="B62" t="s">
        <v>112</v>
      </c>
      <c r="C62" t="s">
        <v>100</v>
      </c>
      <c r="D62" t="s">
        <v>61</v>
      </c>
      <c r="E62">
        <v>300000</v>
      </c>
      <c r="F62">
        <v>306726.96000000002</v>
      </c>
      <c r="G62">
        <v>-6726.96</v>
      </c>
      <c r="H62" t="s">
        <v>251</v>
      </c>
    </row>
    <row r="63" spans="1:8">
      <c r="A63" t="s">
        <v>190</v>
      </c>
      <c r="B63" t="s">
        <v>71</v>
      </c>
      <c r="C63" t="s">
        <v>100</v>
      </c>
      <c r="D63" t="s">
        <v>39</v>
      </c>
      <c r="E63">
        <v>400000</v>
      </c>
      <c r="F63">
        <v>25000</v>
      </c>
      <c r="G63">
        <v>375000</v>
      </c>
      <c r="H63" t="s">
        <v>252</v>
      </c>
    </row>
    <row r="64" spans="1:8">
      <c r="A64" t="s">
        <v>191</v>
      </c>
      <c r="B64" t="s">
        <v>49</v>
      </c>
      <c r="C64" t="s">
        <v>74</v>
      </c>
      <c r="D64" t="s">
        <v>61</v>
      </c>
      <c r="E64">
        <v>350000</v>
      </c>
      <c r="F64">
        <v>350000</v>
      </c>
      <c r="G64">
        <v>0</v>
      </c>
      <c r="H64" t="s">
        <v>250</v>
      </c>
    </row>
    <row r="65" spans="1:8">
      <c r="A65" t="s">
        <v>195</v>
      </c>
      <c r="B65" t="s">
        <v>71</v>
      </c>
      <c r="C65" t="s">
        <v>52</v>
      </c>
      <c r="D65" t="s">
        <v>124</v>
      </c>
      <c r="E65">
        <v>400000</v>
      </c>
      <c r="F65">
        <v>400000</v>
      </c>
      <c r="G65">
        <v>0</v>
      </c>
      <c r="H65" t="s">
        <v>250</v>
      </c>
    </row>
    <row r="66" spans="1:8">
      <c r="A66" t="s">
        <v>196</v>
      </c>
      <c r="B66" t="s">
        <v>49</v>
      </c>
      <c r="C66" t="s">
        <v>74</v>
      </c>
      <c r="D66" t="s">
        <v>124</v>
      </c>
      <c r="E66">
        <v>350000</v>
      </c>
      <c r="F66">
        <v>34000</v>
      </c>
      <c r="G66">
        <v>316000</v>
      </c>
      <c r="H66" t="s">
        <v>252</v>
      </c>
    </row>
    <row r="67" spans="1:8">
      <c r="A67" t="s">
        <v>200</v>
      </c>
      <c r="B67" t="s">
        <v>49</v>
      </c>
      <c r="C67" t="s">
        <v>52</v>
      </c>
      <c r="D67" t="s">
        <v>61</v>
      </c>
      <c r="E67">
        <v>350000</v>
      </c>
      <c r="F67">
        <v>350000</v>
      </c>
      <c r="G67">
        <v>0</v>
      </c>
      <c r="H67" t="s">
        <v>250</v>
      </c>
    </row>
    <row r="68" spans="1:8">
      <c r="A68" t="s">
        <v>204</v>
      </c>
      <c r="B68" t="s">
        <v>71</v>
      </c>
      <c r="C68" t="s">
        <v>100</v>
      </c>
      <c r="D68" t="s">
        <v>39</v>
      </c>
      <c r="E68">
        <v>400000</v>
      </c>
      <c r="F68">
        <v>34000</v>
      </c>
      <c r="G68">
        <v>366000</v>
      </c>
      <c r="H68" t="s">
        <v>252</v>
      </c>
    </row>
    <row r="69" spans="1:8">
      <c r="A69" t="s">
        <v>205</v>
      </c>
      <c r="B69" t="s">
        <v>112</v>
      </c>
      <c r="C69" t="s">
        <v>52</v>
      </c>
      <c r="D69" t="s">
        <v>61</v>
      </c>
      <c r="E69">
        <v>300000</v>
      </c>
      <c r="F69">
        <v>165000</v>
      </c>
      <c r="G69">
        <v>135000</v>
      </c>
      <c r="H69" t="s">
        <v>252</v>
      </c>
    </row>
    <row r="70" spans="1:8">
      <c r="A70" t="s">
        <v>206</v>
      </c>
      <c r="B70" t="s">
        <v>49</v>
      </c>
      <c r="C70" t="s">
        <v>74</v>
      </c>
      <c r="D70" t="s">
        <v>61</v>
      </c>
      <c r="E70">
        <v>350000</v>
      </c>
      <c r="F70">
        <v>355366.9</v>
      </c>
      <c r="G70">
        <v>-5366.9</v>
      </c>
      <c r="H70" t="s">
        <v>251</v>
      </c>
    </row>
    <row r="71" spans="1:8">
      <c r="A71" t="s">
        <v>207</v>
      </c>
      <c r="B71" t="s">
        <v>49</v>
      </c>
      <c r="C71" t="s">
        <v>74</v>
      </c>
      <c r="D71" t="s">
        <v>61</v>
      </c>
      <c r="E71">
        <v>350000</v>
      </c>
      <c r="F71">
        <v>236000</v>
      </c>
      <c r="G71">
        <v>114000</v>
      </c>
      <c r="H71" t="s">
        <v>252</v>
      </c>
    </row>
    <row r="72" spans="1:8">
      <c r="A72" t="s">
        <v>208</v>
      </c>
      <c r="B72" t="s">
        <v>49</v>
      </c>
      <c r="C72" t="s">
        <v>74</v>
      </c>
      <c r="D72" t="s">
        <v>124</v>
      </c>
      <c r="E72">
        <v>350000</v>
      </c>
      <c r="F72">
        <v>104000</v>
      </c>
      <c r="G72">
        <v>246000</v>
      </c>
      <c r="H72" t="s">
        <v>252</v>
      </c>
    </row>
    <row r="76" spans="1:8">
      <c r="A76" t="s">
        <v>255</v>
      </c>
      <c r="B76" t="s">
        <v>256</v>
      </c>
      <c r="C76" t="s">
        <v>257</v>
      </c>
      <c r="D76" t="s">
        <v>247</v>
      </c>
      <c r="E76" t="s">
        <v>249</v>
      </c>
    </row>
    <row r="77" spans="1:8">
      <c r="A77" t="s">
        <v>258</v>
      </c>
      <c r="B77">
        <v>7</v>
      </c>
      <c r="C77">
        <v>695900</v>
      </c>
      <c r="D77">
        <v>695900</v>
      </c>
      <c r="E77">
        <v>6.93</v>
      </c>
    </row>
    <row r="78" spans="1:8">
      <c r="A78" t="s">
        <v>259</v>
      </c>
      <c r="B78">
        <v>71</v>
      </c>
      <c r="C78">
        <v>8990200</v>
      </c>
      <c r="D78">
        <v>9011402.2799999993</v>
      </c>
      <c r="E78">
        <v>70.3</v>
      </c>
    </row>
    <row r="79" spans="1:8">
      <c r="A79" t="s">
        <v>260</v>
      </c>
      <c r="B79">
        <v>18</v>
      </c>
      <c r="C79">
        <v>2303100</v>
      </c>
      <c r="D79">
        <v>301500</v>
      </c>
      <c r="E79">
        <v>17.82</v>
      </c>
    </row>
    <row r="80" spans="1:8">
      <c r="A80" t="s">
        <v>261</v>
      </c>
      <c r="B80">
        <v>5</v>
      </c>
      <c r="C80">
        <v>310800</v>
      </c>
      <c r="D80">
        <v>0</v>
      </c>
      <c r="E80">
        <v>4.95</v>
      </c>
    </row>
    <row r="84" spans="1:7">
      <c r="A84" t="s">
        <v>213</v>
      </c>
      <c r="B84" t="s">
        <v>214</v>
      </c>
    </row>
    <row r="85" spans="1:7">
      <c r="A85" t="s">
        <v>262</v>
      </c>
      <c r="B85">
        <v>18</v>
      </c>
    </row>
    <row r="86" spans="1:7">
      <c r="A86" t="s">
        <v>263</v>
      </c>
      <c r="B86">
        <v>2001600</v>
      </c>
    </row>
    <row r="89" spans="1:7">
      <c r="A89" t="s">
        <v>264</v>
      </c>
      <c r="B89" t="s">
        <v>0</v>
      </c>
      <c r="C89" t="s">
        <v>265</v>
      </c>
      <c r="D89" t="s">
        <v>257</v>
      </c>
      <c r="E89" t="s">
        <v>266</v>
      </c>
      <c r="F89" t="s">
        <v>247</v>
      </c>
      <c r="G89" t="s">
        <v>267</v>
      </c>
    </row>
    <row r="90" spans="1:7">
      <c r="A90">
        <v>8</v>
      </c>
      <c r="B90" t="s">
        <v>78</v>
      </c>
      <c r="C90">
        <v>3</v>
      </c>
      <c r="D90">
        <v>150000</v>
      </c>
      <c r="E90" s="1">
        <v>46123</v>
      </c>
      <c r="F90">
        <v>0</v>
      </c>
      <c r="G90">
        <v>150000</v>
      </c>
    </row>
    <row r="91" spans="1:7">
      <c r="A91">
        <v>20</v>
      </c>
      <c r="B91" t="s">
        <v>122</v>
      </c>
      <c r="C91">
        <v>6</v>
      </c>
      <c r="D91">
        <v>57400</v>
      </c>
      <c r="E91" s="1">
        <v>46248</v>
      </c>
      <c r="F91">
        <v>0</v>
      </c>
      <c r="G91">
        <v>57400</v>
      </c>
    </row>
    <row r="92" spans="1:7">
      <c r="A92">
        <v>24</v>
      </c>
      <c r="B92" t="s">
        <v>127</v>
      </c>
      <c r="C92">
        <v>4</v>
      </c>
      <c r="D92">
        <v>73500</v>
      </c>
      <c r="E92" s="1">
        <v>46203</v>
      </c>
      <c r="F92">
        <v>73500</v>
      </c>
      <c r="G92">
        <v>0</v>
      </c>
    </row>
    <row r="93" spans="1:7">
      <c r="A93">
        <v>26</v>
      </c>
      <c r="B93" t="s">
        <v>132</v>
      </c>
      <c r="C93">
        <v>1</v>
      </c>
      <c r="D93">
        <v>228000</v>
      </c>
      <c r="E93" s="1">
        <v>45998</v>
      </c>
      <c r="F93">
        <v>228000</v>
      </c>
      <c r="G93">
        <v>0</v>
      </c>
    </row>
    <row r="94" spans="1:7">
      <c r="A94">
        <v>29</v>
      </c>
      <c r="B94" t="s">
        <v>138</v>
      </c>
      <c r="C94">
        <v>2</v>
      </c>
      <c r="D94">
        <v>88000</v>
      </c>
      <c r="E94" s="1">
        <v>46234</v>
      </c>
      <c r="F94">
        <v>0</v>
      </c>
      <c r="G94">
        <v>88000</v>
      </c>
    </row>
    <row r="95" spans="1:7">
      <c r="A95">
        <v>30</v>
      </c>
      <c r="B95" t="s">
        <v>138</v>
      </c>
      <c r="C95">
        <v>3</v>
      </c>
      <c r="D95">
        <v>88000</v>
      </c>
      <c r="E95" s="1">
        <v>46264</v>
      </c>
      <c r="F95">
        <v>0</v>
      </c>
      <c r="G95">
        <v>88000</v>
      </c>
    </row>
    <row r="96" spans="1:7">
      <c r="A96">
        <v>53</v>
      </c>
      <c r="B96" t="s">
        <v>173</v>
      </c>
      <c r="C96">
        <v>2</v>
      </c>
      <c r="D96">
        <v>146000</v>
      </c>
      <c r="E96" s="1">
        <v>46155</v>
      </c>
      <c r="F96">
        <v>0</v>
      </c>
      <c r="G96">
        <v>146000</v>
      </c>
    </row>
    <row r="97" spans="1:7">
      <c r="A97">
        <v>61</v>
      </c>
      <c r="B97" t="s">
        <v>185</v>
      </c>
      <c r="C97">
        <v>2</v>
      </c>
      <c r="D97">
        <v>115500</v>
      </c>
      <c r="E97" s="1">
        <v>46039</v>
      </c>
      <c r="F97">
        <v>0</v>
      </c>
      <c r="G97">
        <v>115500</v>
      </c>
    </row>
    <row r="98" spans="1:7">
      <c r="A98">
        <v>62</v>
      </c>
      <c r="B98" t="s">
        <v>185</v>
      </c>
      <c r="C98">
        <v>3</v>
      </c>
      <c r="D98">
        <v>115500</v>
      </c>
      <c r="E98" s="1">
        <v>46069</v>
      </c>
      <c r="F98">
        <v>0</v>
      </c>
      <c r="G98">
        <v>115500</v>
      </c>
    </row>
    <row r="99" spans="1:7">
      <c r="A99">
        <v>67</v>
      </c>
      <c r="B99" t="s">
        <v>190</v>
      </c>
      <c r="C99">
        <v>2</v>
      </c>
      <c r="D99">
        <v>375000</v>
      </c>
      <c r="E99" s="1">
        <v>46166</v>
      </c>
      <c r="F99">
        <v>0</v>
      </c>
      <c r="G99">
        <v>375000</v>
      </c>
    </row>
    <row r="100" spans="1:7">
      <c r="A100">
        <v>77</v>
      </c>
      <c r="B100" t="s">
        <v>196</v>
      </c>
      <c r="C100">
        <v>2</v>
      </c>
      <c r="D100">
        <v>63200</v>
      </c>
      <c r="E100" s="1">
        <v>45993</v>
      </c>
      <c r="F100">
        <v>0</v>
      </c>
      <c r="G100">
        <v>63200</v>
      </c>
    </row>
    <row r="101" spans="1:7">
      <c r="A101">
        <v>78</v>
      </c>
      <c r="B101" t="s">
        <v>196</v>
      </c>
      <c r="C101">
        <v>3</v>
      </c>
      <c r="D101">
        <v>63200</v>
      </c>
      <c r="E101" s="1">
        <v>46023</v>
      </c>
      <c r="F101">
        <v>0</v>
      </c>
      <c r="G101">
        <v>63200</v>
      </c>
    </row>
    <row r="102" spans="1:7">
      <c r="A102">
        <v>79</v>
      </c>
      <c r="B102" t="s">
        <v>196</v>
      </c>
      <c r="C102">
        <v>4</v>
      </c>
      <c r="D102">
        <v>63200</v>
      </c>
      <c r="E102" s="1">
        <v>46053</v>
      </c>
      <c r="F102">
        <v>0</v>
      </c>
      <c r="G102">
        <v>63200</v>
      </c>
    </row>
    <row r="103" spans="1:7">
      <c r="A103">
        <v>80</v>
      </c>
      <c r="B103" t="s">
        <v>196</v>
      </c>
      <c r="C103">
        <v>5</v>
      </c>
      <c r="D103">
        <v>63200</v>
      </c>
      <c r="E103" s="1">
        <v>46083</v>
      </c>
      <c r="F103">
        <v>0</v>
      </c>
      <c r="G103">
        <v>63200</v>
      </c>
    </row>
    <row r="104" spans="1:7">
      <c r="A104">
        <v>81</v>
      </c>
      <c r="B104" t="s">
        <v>196</v>
      </c>
      <c r="C104">
        <v>6</v>
      </c>
      <c r="D104">
        <v>63200</v>
      </c>
      <c r="E104" s="1">
        <v>46113</v>
      </c>
      <c r="F104">
        <v>0</v>
      </c>
      <c r="G104">
        <v>63200</v>
      </c>
    </row>
    <row r="105" spans="1:7">
      <c r="A105">
        <v>86</v>
      </c>
      <c r="B105" t="s">
        <v>204</v>
      </c>
      <c r="C105">
        <v>2</v>
      </c>
      <c r="D105">
        <v>366000</v>
      </c>
      <c r="E105" s="1">
        <v>45910</v>
      </c>
      <c r="F105">
        <v>0</v>
      </c>
      <c r="G105">
        <v>366000</v>
      </c>
    </row>
    <row r="106" spans="1:7">
      <c r="A106" t="s">
        <v>213</v>
      </c>
      <c r="B106" t="s">
        <v>214</v>
      </c>
      <c r="C106">
        <v>3</v>
      </c>
      <c r="D106">
        <v>135000</v>
      </c>
      <c r="E106" s="1">
        <v>46165</v>
      </c>
      <c r="F106">
        <v>0</v>
      </c>
      <c r="G106">
        <v>135000</v>
      </c>
    </row>
    <row r="107" spans="1:7">
      <c r="A107" t="s">
        <v>268</v>
      </c>
      <c r="B107">
        <v>3</v>
      </c>
      <c r="C107">
        <v>2</v>
      </c>
      <c r="D107">
        <v>49200</v>
      </c>
      <c r="E107" s="1">
        <v>46241</v>
      </c>
      <c r="F107">
        <v>0</v>
      </c>
      <c r="G107">
        <v>49200</v>
      </c>
    </row>
    <row r="108" spans="1:7">
      <c r="A108" t="s">
        <v>269</v>
      </c>
      <c r="B108">
        <v>21202.28</v>
      </c>
    </row>
    <row r="111" spans="1:7">
      <c r="A111" t="s">
        <v>0</v>
      </c>
      <c r="B111" t="s">
        <v>23</v>
      </c>
      <c r="C111" t="s">
        <v>28</v>
      </c>
      <c r="D111" t="s">
        <v>26</v>
      </c>
      <c r="E111" t="s">
        <v>253</v>
      </c>
      <c r="F111" t="s">
        <v>270</v>
      </c>
    </row>
    <row r="112" spans="1:7">
      <c r="A112" t="s">
        <v>34</v>
      </c>
      <c r="B112" t="s">
        <v>49</v>
      </c>
      <c r="C112" t="s">
        <v>52</v>
      </c>
      <c r="D112">
        <v>350000</v>
      </c>
      <c r="E112">
        <v>359108.42</v>
      </c>
      <c r="F112">
        <v>9108.42</v>
      </c>
    </row>
    <row r="113" spans="1:6">
      <c r="A113" t="s">
        <v>189</v>
      </c>
      <c r="B113" t="s">
        <v>112</v>
      </c>
      <c r="C113" t="s">
        <v>100</v>
      </c>
      <c r="D113">
        <v>300000</v>
      </c>
      <c r="E113">
        <v>306726.96000000002</v>
      </c>
      <c r="F113">
        <v>6726.96</v>
      </c>
    </row>
    <row r="114" spans="1:6">
      <c r="A114" t="s">
        <v>206</v>
      </c>
      <c r="B114" t="s">
        <v>49</v>
      </c>
      <c r="C114" t="s">
        <v>74</v>
      </c>
      <c r="D114">
        <v>350000</v>
      </c>
      <c r="E114">
        <v>355366.9</v>
      </c>
      <c r="F114">
        <v>5366.9</v>
      </c>
    </row>
  </sheetData>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8"/>
  <sheetViews>
    <sheetView workbookViewId="0"/>
  </sheetViews>
  <sheetFormatPr defaultRowHeight="14.5"/>
  <cols>
    <col min="1" max="1" width="24.7265625" bestFit="1" customWidth="1"/>
    <col min="2" max="2" width="12.08984375" bestFit="1" customWidth="1"/>
    <col min="3" max="3" width="10.453125" bestFit="1" customWidth="1"/>
    <col min="4" max="4" width="11.81640625" bestFit="1" customWidth="1"/>
    <col min="5" max="5" width="18.54296875" bestFit="1" customWidth="1"/>
    <col min="6" max="6" width="14.6328125" bestFit="1" customWidth="1"/>
    <col min="7" max="7" width="18.54296875" bestFit="1" customWidth="1"/>
    <col min="8" max="8" width="14.6328125" bestFit="1" customWidth="1"/>
    <col min="9" max="9" width="12" bestFit="1" customWidth="1"/>
  </cols>
  <sheetData>
    <row r="1" spans="1:7">
      <c r="A1" t="s">
        <v>213</v>
      </c>
      <c r="B1" t="s">
        <v>214</v>
      </c>
    </row>
    <row r="2" spans="1:7">
      <c r="A2" t="s">
        <v>215</v>
      </c>
      <c r="B2">
        <v>35</v>
      </c>
    </row>
    <row r="3" spans="1:7">
      <c r="A3" t="s">
        <v>271</v>
      </c>
      <c r="B3">
        <v>16</v>
      </c>
    </row>
    <row r="4" spans="1:7">
      <c r="A4" t="s">
        <v>272</v>
      </c>
      <c r="B4">
        <v>1</v>
      </c>
    </row>
    <row r="5" spans="1:7">
      <c r="A5" t="s">
        <v>273</v>
      </c>
      <c r="B5">
        <v>9</v>
      </c>
    </row>
    <row r="6" spans="1:7">
      <c r="A6" t="s">
        <v>219</v>
      </c>
      <c r="B6">
        <v>9</v>
      </c>
    </row>
    <row r="7" spans="1:7">
      <c r="A7" t="s">
        <v>220</v>
      </c>
      <c r="B7">
        <v>18</v>
      </c>
    </row>
    <row r="8" spans="1:7">
      <c r="A8" t="s">
        <v>274</v>
      </c>
      <c r="B8">
        <v>17</v>
      </c>
    </row>
    <row r="9" spans="1:7">
      <c r="A9" t="s">
        <v>222</v>
      </c>
      <c r="B9">
        <v>0.5</v>
      </c>
    </row>
    <row r="10" spans="1:7">
      <c r="A10" t="s">
        <v>223</v>
      </c>
      <c r="B10">
        <v>0.5</v>
      </c>
    </row>
    <row r="13" spans="1:7">
      <c r="A13" t="s">
        <v>23</v>
      </c>
      <c r="B13" t="s">
        <v>231</v>
      </c>
      <c r="C13" t="s">
        <v>117</v>
      </c>
      <c r="D13" t="s">
        <v>80</v>
      </c>
      <c r="E13" t="s">
        <v>275</v>
      </c>
      <c r="F13" t="s">
        <v>276</v>
      </c>
      <c r="G13" t="s">
        <v>277</v>
      </c>
    </row>
    <row r="14" spans="1:7">
      <c r="A14" t="s">
        <v>112</v>
      </c>
      <c r="B14">
        <v>5</v>
      </c>
      <c r="C14">
        <v>2</v>
      </c>
      <c r="D14">
        <v>2</v>
      </c>
      <c r="E14">
        <v>4</v>
      </c>
      <c r="F14">
        <v>0.5</v>
      </c>
      <c r="G14">
        <v>0.5</v>
      </c>
    </row>
    <row r="15" spans="1:7">
      <c r="A15" t="s">
        <v>71</v>
      </c>
      <c r="B15">
        <v>10</v>
      </c>
      <c r="C15">
        <v>0</v>
      </c>
      <c r="D15">
        <v>2</v>
      </c>
      <c r="E15">
        <v>2</v>
      </c>
      <c r="F15">
        <v>0</v>
      </c>
      <c r="G15">
        <v>1</v>
      </c>
    </row>
    <row r="16" spans="1:7">
      <c r="A16" t="s">
        <v>49</v>
      </c>
      <c r="B16">
        <v>18</v>
      </c>
      <c r="C16">
        <v>7</v>
      </c>
      <c r="D16">
        <v>4</v>
      </c>
      <c r="E16">
        <v>11</v>
      </c>
      <c r="F16">
        <v>0.63636363636363635</v>
      </c>
      <c r="G16">
        <v>0.36363636363636359</v>
      </c>
    </row>
    <row r="17" spans="1:9">
      <c r="A17" t="s">
        <v>97</v>
      </c>
      <c r="B17">
        <v>2</v>
      </c>
      <c r="C17">
        <v>0</v>
      </c>
      <c r="D17">
        <v>1</v>
      </c>
      <c r="E17">
        <v>1</v>
      </c>
      <c r="F17">
        <v>0</v>
      </c>
      <c r="G17">
        <v>1</v>
      </c>
    </row>
    <row r="21" spans="1:9">
      <c r="A21" t="s">
        <v>28</v>
      </c>
      <c r="B21" t="s">
        <v>29</v>
      </c>
      <c r="C21" t="s">
        <v>30</v>
      </c>
      <c r="D21" t="s">
        <v>231</v>
      </c>
      <c r="E21" t="s">
        <v>117</v>
      </c>
      <c r="F21" t="s">
        <v>80</v>
      </c>
      <c r="G21" t="s">
        <v>275</v>
      </c>
      <c r="H21" t="s">
        <v>276</v>
      </c>
      <c r="I21" t="s">
        <v>277</v>
      </c>
    </row>
    <row r="22" spans="1:9">
      <c r="A22" t="s">
        <v>74</v>
      </c>
      <c r="B22" t="s">
        <v>75</v>
      </c>
      <c r="C22" t="s">
        <v>76</v>
      </c>
      <c r="D22">
        <v>11</v>
      </c>
      <c r="E22">
        <v>3</v>
      </c>
      <c r="F22">
        <v>1</v>
      </c>
      <c r="G22">
        <v>4</v>
      </c>
      <c r="H22">
        <v>0.75</v>
      </c>
      <c r="I22">
        <v>0.25</v>
      </c>
    </row>
    <row r="23" spans="1:9">
      <c r="A23" t="s">
        <v>100</v>
      </c>
      <c r="B23" t="s">
        <v>101</v>
      </c>
      <c r="C23" t="s">
        <v>102</v>
      </c>
      <c r="D23">
        <v>8</v>
      </c>
      <c r="E23">
        <v>2</v>
      </c>
      <c r="F23">
        <v>2</v>
      </c>
      <c r="G23">
        <v>4</v>
      </c>
      <c r="H23">
        <v>0.5</v>
      </c>
      <c r="I23">
        <v>0.5</v>
      </c>
    </row>
    <row r="24" spans="1:9">
      <c r="A24" t="s">
        <v>52</v>
      </c>
      <c r="B24" t="s">
        <v>53</v>
      </c>
      <c r="C24" t="s">
        <v>54</v>
      </c>
      <c r="D24">
        <v>16</v>
      </c>
      <c r="E24">
        <v>4</v>
      </c>
      <c r="F24">
        <v>6</v>
      </c>
      <c r="G24">
        <v>10</v>
      </c>
      <c r="H24">
        <v>0.4</v>
      </c>
      <c r="I24">
        <v>0.6</v>
      </c>
    </row>
    <row r="28" spans="1:9">
      <c r="A28" t="s">
        <v>18</v>
      </c>
      <c r="B28" t="s">
        <v>231</v>
      </c>
      <c r="C28" t="s">
        <v>117</v>
      </c>
      <c r="D28" t="s">
        <v>80</v>
      </c>
      <c r="E28" t="s">
        <v>275</v>
      </c>
      <c r="F28" t="s">
        <v>276</v>
      </c>
      <c r="G28" t="s">
        <v>277</v>
      </c>
    </row>
    <row r="29" spans="1:9">
      <c r="A29" t="s">
        <v>45</v>
      </c>
      <c r="B29">
        <v>7</v>
      </c>
      <c r="C29">
        <v>1</v>
      </c>
      <c r="D29">
        <v>1</v>
      </c>
      <c r="E29">
        <v>2</v>
      </c>
      <c r="F29">
        <v>0.5</v>
      </c>
      <c r="G29">
        <v>0.5</v>
      </c>
    </row>
    <row r="30" spans="1:9">
      <c r="A30" t="s">
        <v>84</v>
      </c>
      <c r="B30">
        <v>11</v>
      </c>
      <c r="C30">
        <v>4</v>
      </c>
      <c r="D30">
        <v>5</v>
      </c>
      <c r="E30">
        <v>9</v>
      </c>
      <c r="F30">
        <v>0.44444444444444442</v>
      </c>
      <c r="G30">
        <v>0.55555555555555558</v>
      </c>
    </row>
    <row r="31" spans="1:9">
      <c r="A31" t="s">
        <v>95</v>
      </c>
      <c r="B31">
        <v>9</v>
      </c>
      <c r="C31">
        <v>3</v>
      </c>
      <c r="D31">
        <v>3</v>
      </c>
      <c r="E31">
        <v>6</v>
      </c>
      <c r="F31">
        <v>0.5</v>
      </c>
      <c r="G31">
        <v>0.5</v>
      </c>
    </row>
    <row r="32" spans="1:9">
      <c r="A32" t="s">
        <v>67</v>
      </c>
      <c r="B32">
        <v>8</v>
      </c>
      <c r="C32">
        <v>1</v>
      </c>
      <c r="D32">
        <v>0</v>
      </c>
      <c r="E32">
        <v>1</v>
      </c>
      <c r="F32">
        <v>1</v>
      </c>
      <c r="G32">
        <v>0</v>
      </c>
    </row>
    <row r="36" spans="1:7">
      <c r="A36" t="s">
        <v>10</v>
      </c>
      <c r="B36" t="s">
        <v>231</v>
      </c>
      <c r="C36" t="s">
        <v>117</v>
      </c>
      <c r="D36" t="s">
        <v>80</v>
      </c>
      <c r="E36" t="s">
        <v>275</v>
      </c>
      <c r="F36" t="s">
        <v>276</v>
      </c>
      <c r="G36" t="s">
        <v>277</v>
      </c>
    </row>
    <row r="37" spans="1:7">
      <c r="A37" t="s">
        <v>39</v>
      </c>
      <c r="B37">
        <v>15</v>
      </c>
      <c r="C37">
        <v>4</v>
      </c>
      <c r="D37">
        <v>3</v>
      </c>
      <c r="E37">
        <v>7</v>
      </c>
      <c r="F37">
        <v>0.5714285714285714</v>
      </c>
      <c r="G37">
        <v>0.42857142857142849</v>
      </c>
    </row>
    <row r="38" spans="1:7">
      <c r="A38" t="s">
        <v>61</v>
      </c>
      <c r="B38">
        <v>12</v>
      </c>
      <c r="C38">
        <v>5</v>
      </c>
      <c r="D38">
        <v>4</v>
      </c>
      <c r="E38">
        <v>9</v>
      </c>
      <c r="F38">
        <v>0.55555555555555558</v>
      </c>
      <c r="G38">
        <v>0.44444444444444442</v>
      </c>
    </row>
    <row r="39" spans="1:7">
      <c r="A39" t="s">
        <v>166</v>
      </c>
      <c r="B39">
        <v>2</v>
      </c>
      <c r="C39">
        <v>0</v>
      </c>
      <c r="D39">
        <v>1</v>
      </c>
      <c r="E39">
        <v>1</v>
      </c>
      <c r="F39">
        <v>0</v>
      </c>
      <c r="G39">
        <v>1</v>
      </c>
    </row>
    <row r="40" spans="1:7">
      <c r="A40" t="s">
        <v>124</v>
      </c>
      <c r="B40">
        <v>6</v>
      </c>
      <c r="C40">
        <v>0</v>
      </c>
      <c r="D40">
        <v>1</v>
      </c>
      <c r="E40">
        <v>1</v>
      </c>
      <c r="F40">
        <v>0</v>
      </c>
      <c r="G40">
        <v>1</v>
      </c>
    </row>
    <row r="44" spans="1:7">
      <c r="A44" t="s">
        <v>20</v>
      </c>
      <c r="B44" t="s">
        <v>231</v>
      </c>
      <c r="C44" t="s">
        <v>117</v>
      </c>
      <c r="D44" t="s">
        <v>80</v>
      </c>
      <c r="E44" t="s">
        <v>275</v>
      </c>
      <c r="F44" t="s">
        <v>276</v>
      </c>
      <c r="G44" t="s">
        <v>277</v>
      </c>
    </row>
    <row r="45" spans="1:7">
      <c r="A45" t="s">
        <v>47</v>
      </c>
      <c r="B45">
        <v>4</v>
      </c>
      <c r="C45">
        <v>0</v>
      </c>
      <c r="D45">
        <v>0</v>
      </c>
      <c r="E45">
        <v>0</v>
      </c>
    </row>
    <row r="46" spans="1:7">
      <c r="A46" t="s">
        <v>69</v>
      </c>
      <c r="B46">
        <v>10</v>
      </c>
      <c r="C46">
        <v>3</v>
      </c>
      <c r="D46">
        <v>2</v>
      </c>
      <c r="E46">
        <v>5</v>
      </c>
      <c r="F46">
        <v>0.6</v>
      </c>
      <c r="G46">
        <v>0.4</v>
      </c>
    </row>
    <row r="47" spans="1:7">
      <c r="A47" t="s">
        <v>86</v>
      </c>
      <c r="B47">
        <v>15</v>
      </c>
      <c r="C47">
        <v>3</v>
      </c>
      <c r="D47">
        <v>6</v>
      </c>
      <c r="E47">
        <v>9</v>
      </c>
      <c r="F47">
        <v>0.33333333333333331</v>
      </c>
      <c r="G47">
        <v>0.66666666666666663</v>
      </c>
    </row>
    <row r="48" spans="1:7">
      <c r="A48" t="s">
        <v>120</v>
      </c>
      <c r="B48">
        <v>6</v>
      </c>
      <c r="C48">
        <v>3</v>
      </c>
      <c r="D48">
        <v>1</v>
      </c>
      <c r="E48">
        <v>4</v>
      </c>
      <c r="F48">
        <v>0.75</v>
      </c>
      <c r="G48">
        <v>0.25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9"/>
  <sheetViews>
    <sheetView workbookViewId="0">
      <selection activeCell="B12" sqref="A1:B12"/>
    </sheetView>
  </sheetViews>
  <sheetFormatPr defaultRowHeight="14.5"/>
  <cols>
    <col min="1" max="1" width="24.7265625" bestFit="1" customWidth="1"/>
    <col min="2" max="2" width="17.54296875" bestFit="1" customWidth="1"/>
    <col min="3" max="3" width="8" bestFit="1" customWidth="1"/>
    <col min="4" max="4" width="11.81640625" bestFit="1" customWidth="1"/>
  </cols>
  <sheetData>
    <row r="1" spans="1:4">
      <c r="A1" t="s">
        <v>213</v>
      </c>
      <c r="B1" t="s">
        <v>214</v>
      </c>
    </row>
    <row r="2" spans="1:4">
      <c r="A2" t="s">
        <v>216</v>
      </c>
      <c r="B2">
        <v>22</v>
      </c>
    </row>
    <row r="3" spans="1:4">
      <c r="A3" t="s">
        <v>278</v>
      </c>
      <c r="B3">
        <v>13</v>
      </c>
    </row>
    <row r="4" spans="1:4">
      <c r="A4" t="s">
        <v>279</v>
      </c>
      <c r="B4">
        <v>9</v>
      </c>
    </row>
    <row r="5" spans="1:4">
      <c r="A5" t="s">
        <v>280</v>
      </c>
      <c r="B5">
        <v>7</v>
      </c>
    </row>
    <row r="6" spans="1:4">
      <c r="A6" t="s">
        <v>281</v>
      </c>
      <c r="B6">
        <v>5</v>
      </c>
    </row>
    <row r="7" spans="1:4">
      <c r="A7" t="s">
        <v>282</v>
      </c>
      <c r="B7">
        <v>3</v>
      </c>
    </row>
    <row r="8" spans="1:4">
      <c r="A8" t="s">
        <v>283</v>
      </c>
      <c r="B8">
        <v>4</v>
      </c>
    </row>
    <row r="9" spans="1:4">
      <c r="A9" t="s">
        <v>45</v>
      </c>
      <c r="B9">
        <v>4</v>
      </c>
    </row>
    <row r="10" spans="1:4">
      <c r="A10" t="s">
        <v>84</v>
      </c>
      <c r="B10">
        <v>6</v>
      </c>
    </row>
    <row r="11" spans="1:4">
      <c r="A11" t="s">
        <v>284</v>
      </c>
      <c r="B11">
        <v>6</v>
      </c>
    </row>
    <row r="12" spans="1:4">
      <c r="A12" t="s">
        <v>67</v>
      </c>
      <c r="B12">
        <v>6</v>
      </c>
    </row>
    <row r="16" spans="1:4">
      <c r="A16" t="s">
        <v>16</v>
      </c>
      <c r="B16" t="s">
        <v>231</v>
      </c>
      <c r="C16" t="s">
        <v>232</v>
      </c>
      <c r="D16" t="s">
        <v>249</v>
      </c>
    </row>
    <row r="17" spans="1:4">
      <c r="A17" t="s">
        <v>65</v>
      </c>
      <c r="B17">
        <v>14</v>
      </c>
      <c r="C17">
        <v>9</v>
      </c>
      <c r="D17">
        <v>0.40909090909090912</v>
      </c>
    </row>
    <row r="18" spans="1:4">
      <c r="A18" t="s">
        <v>43</v>
      </c>
      <c r="B18">
        <v>21</v>
      </c>
      <c r="C18">
        <v>13</v>
      </c>
      <c r="D18">
        <v>0.59090909090909094</v>
      </c>
    </row>
    <row r="23" spans="1:4">
      <c r="A23" t="s">
        <v>17</v>
      </c>
      <c r="B23" t="s">
        <v>231</v>
      </c>
      <c r="C23" t="s">
        <v>232</v>
      </c>
      <c r="D23" t="s">
        <v>249</v>
      </c>
    </row>
    <row r="24" spans="1:4">
      <c r="A24" t="s">
        <v>44</v>
      </c>
      <c r="B24">
        <v>11</v>
      </c>
      <c r="C24">
        <v>7</v>
      </c>
      <c r="D24">
        <v>0.31818181818181818</v>
      </c>
    </row>
    <row r="25" spans="1:4">
      <c r="A25" t="s">
        <v>66</v>
      </c>
      <c r="B25">
        <v>9</v>
      </c>
      <c r="C25">
        <v>5</v>
      </c>
      <c r="D25">
        <v>0.22727272727272729</v>
      </c>
    </row>
    <row r="26" spans="1:4">
      <c r="A26" t="s">
        <v>131</v>
      </c>
      <c r="B26">
        <v>4</v>
      </c>
      <c r="C26">
        <v>3</v>
      </c>
      <c r="D26">
        <v>0.13636363636363641</v>
      </c>
    </row>
    <row r="27" spans="1:4">
      <c r="A27" t="s">
        <v>109</v>
      </c>
      <c r="B27">
        <v>4</v>
      </c>
      <c r="C27">
        <v>3</v>
      </c>
      <c r="D27">
        <v>0.13636363636363641</v>
      </c>
    </row>
    <row r="28" spans="1:4">
      <c r="A28" t="s">
        <v>83</v>
      </c>
      <c r="B28">
        <v>7</v>
      </c>
      <c r="C28">
        <v>4</v>
      </c>
      <c r="D28">
        <v>0.1818181818181818</v>
      </c>
    </row>
    <row r="31" spans="1:4">
      <c r="A31" t="s">
        <v>18</v>
      </c>
      <c r="B31" t="s">
        <v>231</v>
      </c>
      <c r="C31" t="s">
        <v>232</v>
      </c>
      <c r="D31" t="s">
        <v>249</v>
      </c>
    </row>
    <row r="32" spans="1:4">
      <c r="A32" t="s">
        <v>45</v>
      </c>
      <c r="B32">
        <v>7</v>
      </c>
      <c r="C32">
        <v>4</v>
      </c>
      <c r="D32">
        <v>0.1818181818181818</v>
      </c>
    </row>
    <row r="33" spans="1:4">
      <c r="A33" t="s">
        <v>84</v>
      </c>
      <c r="B33">
        <v>11</v>
      </c>
      <c r="C33">
        <v>6</v>
      </c>
      <c r="D33">
        <v>0.27272727272727271</v>
      </c>
    </row>
    <row r="34" spans="1:4">
      <c r="A34" t="s">
        <v>95</v>
      </c>
      <c r="B34">
        <v>9</v>
      </c>
      <c r="C34">
        <v>6</v>
      </c>
      <c r="D34">
        <v>0.27272727272727271</v>
      </c>
    </row>
    <row r="35" spans="1:4">
      <c r="A35" t="s">
        <v>67</v>
      </c>
      <c r="B35">
        <v>8</v>
      </c>
      <c r="C35">
        <v>6</v>
      </c>
      <c r="D35">
        <v>0.27272727272727271</v>
      </c>
    </row>
    <row r="39" spans="1:4">
      <c r="A39" t="s">
        <v>19</v>
      </c>
      <c r="B39" t="s">
        <v>231</v>
      </c>
      <c r="C39" t="s">
        <v>232</v>
      </c>
      <c r="D39" t="s">
        <v>249</v>
      </c>
    </row>
    <row r="40" spans="1:4">
      <c r="A40" t="s">
        <v>110</v>
      </c>
      <c r="B40">
        <v>5</v>
      </c>
      <c r="C40">
        <v>3</v>
      </c>
      <c r="D40">
        <v>0.13636363636363641</v>
      </c>
    </row>
    <row r="41" spans="1:4">
      <c r="A41" t="s">
        <v>46</v>
      </c>
      <c r="B41">
        <v>1</v>
      </c>
      <c r="C41">
        <v>1</v>
      </c>
      <c r="D41">
        <v>4.5454545454545463E-2</v>
      </c>
    </row>
    <row r="42" spans="1:4">
      <c r="A42" t="s">
        <v>85</v>
      </c>
      <c r="B42">
        <v>11</v>
      </c>
      <c r="C42">
        <v>6</v>
      </c>
      <c r="D42">
        <v>0.27272727272727271</v>
      </c>
    </row>
    <row r="43" spans="1:4">
      <c r="A43" t="s">
        <v>146</v>
      </c>
      <c r="B43">
        <v>4</v>
      </c>
      <c r="C43">
        <v>2</v>
      </c>
      <c r="D43">
        <v>9.0909090909090912E-2</v>
      </c>
    </row>
    <row r="44" spans="1:4">
      <c r="A44" t="s">
        <v>68</v>
      </c>
      <c r="B44">
        <v>14</v>
      </c>
      <c r="C44">
        <v>10</v>
      </c>
      <c r="D44">
        <v>0.45454545454545447</v>
      </c>
    </row>
    <row r="47" spans="1:4">
      <c r="A47" t="s">
        <v>23</v>
      </c>
      <c r="B47" t="s">
        <v>16</v>
      </c>
      <c r="C47" t="s">
        <v>232</v>
      </c>
    </row>
    <row r="48" spans="1:4">
      <c r="A48" t="s">
        <v>112</v>
      </c>
      <c r="B48" t="s">
        <v>65</v>
      </c>
      <c r="C48">
        <v>2</v>
      </c>
    </row>
    <row r="49" spans="1:3">
      <c r="A49" t="s">
        <v>112</v>
      </c>
      <c r="B49" t="s">
        <v>43</v>
      </c>
      <c r="C49">
        <v>2</v>
      </c>
    </row>
    <row r="50" spans="1:3">
      <c r="A50" t="s">
        <v>71</v>
      </c>
      <c r="B50" t="s">
        <v>65</v>
      </c>
      <c r="C50">
        <v>2</v>
      </c>
    </row>
    <row r="51" spans="1:3">
      <c r="A51" t="s">
        <v>71</v>
      </c>
      <c r="B51" t="s">
        <v>43</v>
      </c>
      <c r="C51">
        <v>7</v>
      </c>
    </row>
    <row r="52" spans="1:3">
      <c r="A52" t="s">
        <v>49</v>
      </c>
      <c r="B52" t="s">
        <v>65</v>
      </c>
      <c r="C52">
        <v>5</v>
      </c>
    </row>
    <row r="53" spans="1:3">
      <c r="A53" t="s">
        <v>49</v>
      </c>
      <c r="B53" t="s">
        <v>43</v>
      </c>
      <c r="C53">
        <v>9</v>
      </c>
    </row>
    <row r="54" spans="1:3">
      <c r="A54" t="s">
        <v>97</v>
      </c>
      <c r="B54" t="s">
        <v>65</v>
      </c>
      <c r="C54">
        <v>1</v>
      </c>
    </row>
    <row r="55" spans="1:3">
      <c r="A55" t="s">
        <v>97</v>
      </c>
      <c r="B55" t="s">
        <v>43</v>
      </c>
      <c r="C55">
        <v>1</v>
      </c>
    </row>
    <row r="56" spans="1:3">
      <c r="A56" t="s">
        <v>23</v>
      </c>
      <c r="B56" t="s">
        <v>17</v>
      </c>
      <c r="C56" t="s">
        <v>232</v>
      </c>
    </row>
    <row r="57" spans="1:3">
      <c r="A57" t="s">
        <v>112</v>
      </c>
      <c r="B57" t="s">
        <v>44</v>
      </c>
      <c r="C57">
        <v>2</v>
      </c>
    </row>
    <row r="58" spans="1:3">
      <c r="A58" t="s">
        <v>112</v>
      </c>
      <c r="B58" t="s">
        <v>66</v>
      </c>
      <c r="C58">
        <v>1</v>
      </c>
    </row>
    <row r="59" spans="1:3">
      <c r="A59" t="s">
        <v>112</v>
      </c>
      <c r="B59" t="s">
        <v>109</v>
      </c>
      <c r="C59">
        <v>1</v>
      </c>
    </row>
    <row r="60" spans="1:3">
      <c r="A60" t="s">
        <v>71</v>
      </c>
      <c r="B60" t="s">
        <v>44</v>
      </c>
      <c r="C60">
        <v>2</v>
      </c>
    </row>
    <row r="61" spans="1:3">
      <c r="A61" t="s">
        <v>71</v>
      </c>
      <c r="B61" t="s">
        <v>66</v>
      </c>
      <c r="C61">
        <v>2</v>
      </c>
    </row>
    <row r="62" spans="1:3">
      <c r="A62" t="s">
        <v>71</v>
      </c>
      <c r="B62" t="s">
        <v>131</v>
      </c>
      <c r="C62">
        <v>2</v>
      </c>
    </row>
    <row r="63" spans="1:3">
      <c r="A63" t="s">
        <v>71</v>
      </c>
      <c r="B63" t="s">
        <v>109</v>
      </c>
      <c r="C63">
        <v>2</v>
      </c>
    </row>
    <row r="64" spans="1:3">
      <c r="A64" t="s">
        <v>71</v>
      </c>
      <c r="B64" t="s">
        <v>83</v>
      </c>
      <c r="C64">
        <v>1</v>
      </c>
    </row>
    <row r="65" spans="1:3">
      <c r="A65" t="s">
        <v>49</v>
      </c>
      <c r="B65" t="s">
        <v>44</v>
      </c>
      <c r="C65">
        <v>5</v>
      </c>
    </row>
    <row r="66" spans="1:3">
      <c r="A66" t="s">
        <v>23</v>
      </c>
      <c r="B66" t="s">
        <v>18</v>
      </c>
      <c r="C66" t="s">
        <v>232</v>
      </c>
    </row>
    <row r="67" spans="1:3">
      <c r="A67" t="s">
        <v>112</v>
      </c>
      <c r="B67" t="s">
        <v>45</v>
      </c>
      <c r="C67">
        <v>1</v>
      </c>
    </row>
    <row r="68" spans="1:3">
      <c r="A68" t="s">
        <v>112</v>
      </c>
      <c r="B68" t="s">
        <v>84</v>
      </c>
      <c r="C68">
        <v>2</v>
      </c>
    </row>
    <row r="69" spans="1:3">
      <c r="A69" t="s">
        <v>112</v>
      </c>
      <c r="B69" t="s">
        <v>95</v>
      </c>
      <c r="C69">
        <v>1</v>
      </c>
    </row>
    <row r="70" spans="1:3">
      <c r="A70" t="s">
        <v>71</v>
      </c>
      <c r="B70" t="s">
        <v>45</v>
      </c>
      <c r="C70">
        <v>1</v>
      </c>
    </row>
    <row r="71" spans="1:3">
      <c r="A71" t="s">
        <v>71</v>
      </c>
      <c r="B71" t="s">
        <v>84</v>
      </c>
      <c r="C71">
        <v>1</v>
      </c>
    </row>
    <row r="72" spans="1:3">
      <c r="A72" t="s">
        <v>71</v>
      </c>
      <c r="B72" t="s">
        <v>95</v>
      </c>
      <c r="C72">
        <v>4</v>
      </c>
    </row>
    <row r="73" spans="1:3">
      <c r="A73" t="s">
        <v>71</v>
      </c>
      <c r="B73" t="s">
        <v>67</v>
      </c>
      <c r="C73">
        <v>3</v>
      </c>
    </row>
    <row r="74" spans="1:3">
      <c r="A74" t="s">
        <v>49</v>
      </c>
      <c r="B74" t="s">
        <v>45</v>
      </c>
      <c r="C74">
        <v>4</v>
      </c>
    </row>
    <row r="75" spans="1:3">
      <c r="A75" t="s">
        <v>49</v>
      </c>
      <c r="B75" t="s">
        <v>84</v>
      </c>
      <c r="C75">
        <v>4</v>
      </c>
    </row>
    <row r="76" spans="1:3">
      <c r="A76" t="s">
        <v>20</v>
      </c>
      <c r="B76" t="s">
        <v>18</v>
      </c>
      <c r="C76" t="s">
        <v>232</v>
      </c>
    </row>
    <row r="77" spans="1:3">
      <c r="A77" t="s">
        <v>47</v>
      </c>
      <c r="B77" t="s">
        <v>45</v>
      </c>
      <c r="C77">
        <v>1</v>
      </c>
    </row>
    <row r="78" spans="1:3">
      <c r="A78" t="s">
        <v>47</v>
      </c>
      <c r="B78" t="s">
        <v>95</v>
      </c>
      <c r="C78">
        <v>1</v>
      </c>
    </row>
    <row r="79" spans="1:3">
      <c r="A79" t="s">
        <v>47</v>
      </c>
      <c r="B79" t="s">
        <v>67</v>
      </c>
      <c r="C79">
        <v>2</v>
      </c>
    </row>
    <row r="80" spans="1:3">
      <c r="A80" t="s">
        <v>69</v>
      </c>
      <c r="B80" t="s">
        <v>45</v>
      </c>
      <c r="C80">
        <v>2</v>
      </c>
    </row>
    <row r="81" spans="1:3">
      <c r="A81" t="s">
        <v>69</v>
      </c>
      <c r="B81" t="s">
        <v>84</v>
      </c>
      <c r="C81">
        <v>1</v>
      </c>
    </row>
    <row r="82" spans="1:3">
      <c r="A82" t="s">
        <v>69</v>
      </c>
      <c r="B82" t="s">
        <v>95</v>
      </c>
      <c r="C82">
        <v>1</v>
      </c>
    </row>
    <row r="83" spans="1:3">
      <c r="A83" t="s">
        <v>69</v>
      </c>
      <c r="B83" t="s">
        <v>67</v>
      </c>
      <c r="C83">
        <v>2</v>
      </c>
    </row>
    <row r="84" spans="1:3">
      <c r="A84" t="s">
        <v>86</v>
      </c>
      <c r="B84" t="s">
        <v>84</v>
      </c>
      <c r="C84">
        <v>4</v>
      </c>
    </row>
    <row r="85" spans="1:3">
      <c r="A85" t="s">
        <v>86</v>
      </c>
      <c r="B85" t="s">
        <v>95</v>
      </c>
      <c r="C85">
        <v>3</v>
      </c>
    </row>
    <row r="86" spans="1:3">
      <c r="A86" t="s">
        <v>86</v>
      </c>
      <c r="B86" t="s">
        <v>67</v>
      </c>
      <c r="C86">
        <v>2</v>
      </c>
    </row>
    <row r="87" spans="1:3">
      <c r="A87" t="s">
        <v>120</v>
      </c>
      <c r="B87" t="s">
        <v>45</v>
      </c>
      <c r="C87">
        <v>1</v>
      </c>
    </row>
    <row r="88" spans="1:3">
      <c r="A88" t="s">
        <v>120</v>
      </c>
      <c r="B88" t="s">
        <v>84</v>
      </c>
      <c r="C88">
        <v>1</v>
      </c>
    </row>
    <row r="89" spans="1:3">
      <c r="A89" t="s">
        <v>120</v>
      </c>
      <c r="B89" t="s">
        <v>95</v>
      </c>
      <c r="C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Pivots</vt:lpstr>
      <vt:lpstr>Data</vt:lpstr>
      <vt:lpstr>Dashboard</vt:lpstr>
      <vt:lpstr>KPI_Data</vt:lpstr>
      <vt:lpstr>Enrollment</vt:lpstr>
      <vt:lpstr>Financial</vt:lpstr>
      <vt:lpstr>Outcomes</vt:lpstr>
      <vt:lpstr>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RichiE Odia</cp:lastModifiedBy>
  <dcterms:created xsi:type="dcterms:W3CDTF">2026-09-01T08:26:03Z</dcterms:created>
  <dcterms:modified xsi:type="dcterms:W3CDTF">2026-09-05T13:38:02Z</dcterms:modified>
</cp:coreProperties>
</file>